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get Calculator" sheetId="1" r:id="rId4"/>
    <sheet state="visible" name="Source Data - In Progress" sheetId="2" r:id="rId5"/>
    <sheet state="visible" name="Info for CamYoudahe" sheetId="3" r:id="rId6"/>
    <sheet state="visible" name="RNTI Components" sheetId="4" r:id="rId7"/>
  </sheets>
  <definedNames/>
  <calcPr/>
  <extLst>
    <ext uri="GoogleSheetsCustomDataVersion2">
      <go:sheetsCustomData xmlns:go="http://customooxmlschemas.google.com/" r:id="rId8" roundtripDataChecksum="b2ab742rbv0XpHit75FL8kSU8zQICPLkUzLufChY0x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3">
      <text>
        <t xml:space="preserve">======
ID#AAAB4_bN1KE
Branden Ryan    (2026-04-27 11:38:57)
I feel like we'd likely have a large delta between min and max, because of some of your research @brookesegerberg@fika.org where paths are often constructed/created organically. Also, the "creation" of a footpath depends on a wide variety of factors, like length, if the community is developing the path, etc. Something like paying day larborer wages to clear out a rudimentary dirt trail would probably be super small when compared to a full, paved trail, so the initial blended average would be a huge guesstimate. Though, I feel like in most of our contexts, paths would probably be created by local government with community-hired day laborers</t>
      </text>
    </comment>
    <comment authorId="0" ref="A4">
      <text>
        <t xml:space="preserve">======
ID#AAAB3Qw3oRw
Branden Ryan    (2026-04-14 15:51:17)
@brookesegerberg@fika.org - for you to plop the hyperlink for a Google form
_Assigned to Brooke Segerberg_</t>
      </text>
    </comment>
  </commentList>
  <extLst>
    <ext uri="GoogleSheetsCustomDataVersion2">
      <go:sheetsCustomData xmlns:go="http://customooxmlschemas.google.com/" r:id="rId1" roundtripDataSignature="AMtx7mhUnCuYUKHdtRKiUj9vfMaDmr3vO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4">
      <text>
        <t xml:space="preserve">======
ID#AAAB5GcCYaQ
Brooke Segerberg    (2026-04-30 21:21:07)
Not sure what year to put. Article is from 2025, but some of those costs are from earlier (2014).</t>
      </text>
    </comment>
    <comment authorId="0" ref="B14">
      <text>
        <t xml:space="preserve">======
ID#AAAB3JM18eE
Branden Ryan    (2026-04-10 17:57:07)
@brookesegerberg@fika.org</t>
      </text>
    </comment>
    <comment authorId="0" ref="G80">
      <text>
        <t xml:space="preserve">======
ID#AAAB3JM18eA
tc={AB6B22D0-7AD6-4644-946E-5B918B93F00B}    (2026-04-10 17:24:55)
[Threaded comment]
Your version of Excel allows you to read this threaded comment; however, any edits to it will get removed if the file is opened in a newer version of Excel. Learn more: https://go.microsoft.com/fwlink/?linkid=870924
Comment:
    https://onlinelibrary.wiley.com/doi/10.1155/2023/1529148#:~:text=For%20instance%2C%20it%20prioritizes%20the,of%20gravel%20roads%20%5B16%5D.</t>
      </text>
    </comment>
  </commentList>
  <extLst>
    <ext uri="GoogleSheetsCustomDataVersion2">
      <go:sheetsCustomData xmlns:go="http://customooxmlschemas.google.com/" r:id="rId1" roundtripDataSignature="AMtx7mi3jgJsAhOoyESwFwK1NOr4qtQ0qA=="/>
    </ext>
  </extLst>
</comments>
</file>

<file path=xl/sharedStrings.xml><?xml version="1.0" encoding="utf-8"?>
<sst xmlns="http://schemas.openxmlformats.org/spreadsheetml/2006/main" count="637" uniqueCount="371">
  <si>
    <t>Rural Connectivity Budget Tool</t>
  </si>
  <si>
    <r>
      <rPr/>
      <t xml:space="preserve">to put on </t>
    </r>
    <r>
      <rPr>
        <color rgb="FF1155CC"/>
        <u/>
      </rPr>
      <t>https://bridgedesignv3.streamlit.app/Bridge_Price_Estimation</t>
    </r>
    <r>
      <rPr/>
      <t xml:space="preserve"> </t>
    </r>
  </si>
  <si>
    <r>
      <rPr>
        <rFont val="Arial"/>
        <i/>
        <color rgb="FF595959"/>
        <sz val="10.0"/>
      </rPr>
      <t xml:space="preserve">This tool helps transport planners, financiers, and policymakers explore how a small share of a larger transport project budget (like a large corridor investment) could fund essential Rural Networked Transport Infrastructure (RNTI) — the trail bridges, footpaths, low-water crossings, ancillary safety, and active mobility components that connect rural communities to primary networks. RNTI is defined and detailed in </t>
    </r>
    <r>
      <rPr>
        <rFont val="Arial"/>
        <i/>
        <color rgb="FF1155CC"/>
        <sz val="10.0"/>
        <u/>
      </rPr>
      <t>Segerberg &amp; Noriega (2026), Advancing Inclusive, Multimodal, Climate-Resilient Planning for Rural Networked Transport Infrastructure</t>
    </r>
    <r>
      <rPr>
        <rFont val="Arial"/>
        <i/>
        <color rgb="FF595959"/>
        <sz val="10.0"/>
      </rPr>
      <t>.
The calculator is designed to raise awareness of how modest, evidence-based RNTI add-ons — typically 1% to 10% of a transport project budget — can meaningfully improve resilience, market access, and equity outcomes for the roughly 3 billion people living in rural/semi-rural areas worldwide.
To use the tool, enter your total project budget, the percentage you want to allocate to RNTI, and an optional maintenance reserve. Then enter quantities next to any of the RNTI components you would like to fund. The calculator returns total estimated costs, a remaining budget, and a summary of your allocation. Unit cost ranges are approximations using blended averages from available, verifiable sources. This version is an illustrative, back-of-the-envelope tool using high-level cost estimates.</t>
    </r>
  </si>
  <si>
    <t>This is an initial version of the Rural Connectivity Budget Tool. Estimated budgets are approximations based on blended averages of publicly available cost data and may not reflect local market conditions, terrain, labor rates, or design specifications in any specific country or project. Fika will integrate more nuanced cost approximations and social and climate impact information in future iterations of this tool. Suggestions, corrections, additional cost data, and inquiries are warmly welcomed — contact our research team here.</t>
  </si>
  <si>
    <t>SECTION 1: TRANSPORT PROJECT INPUTS</t>
  </si>
  <si>
    <t>[Info for Cameron/Youdahe Only -- the editable fields in the calculator tool should be the ones in yellow below]</t>
  </si>
  <si>
    <t>Project Name / Description</t>
  </si>
  <si>
    <t>Country / Region</t>
  </si>
  <si>
    <t>Total Transport Project Budget (USD)</t>
  </si>
  <si>
    <t>% Allocated to RNTI / Rural Access</t>
  </si>
  <si>
    <t>RNTI Budget Available</t>
  </si>
  <si>
    <t>Maintenance Reserve (%)</t>
  </si>
  <si>
    <t>Recommended: 5-15% of RNTI budget</t>
  </si>
  <si>
    <t>Maintenance Reserve Amount</t>
  </si>
  <si>
    <t>Capital Budget for Infrastructure</t>
  </si>
  <si>
    <t>SECTION 2: INFRASTRUCTURE MIX — Enter desired quantities in column G</t>
  </si>
  <si>
    <t>[Info for Cameron/Youdahe Only -- Unit costs link directly from the 'Source Data' sheet blended averages. Brooke and I are adjusting]</t>
  </si>
  <si>
    <t>#</t>
  </si>
  <si>
    <t>Infrastructure Type</t>
  </si>
  <si>
    <t>Unit</t>
  </si>
  <si>
    <t>Min Unit Cost</t>
  </si>
  <si>
    <t>Max Unit Cost</t>
  </si>
  <si>
    <t>Mid Unit Cost</t>
  </si>
  <si>
    <t>Qty</t>
  </si>
  <si>
    <t>Total Cost Estimate (Mid)</t>
  </si>
  <si>
    <t>Total Cost Estimate Range</t>
  </si>
  <si>
    <t>ORDER 3 TERTIARY LINKS</t>
  </si>
  <si>
    <t>Low-Volume Rural Road (basic earth road)</t>
  </si>
  <si>
    <t>km</t>
  </si>
  <si>
    <t>Low-Volume Rural Road (improved surface)</t>
  </si>
  <si>
    <t>Rural Road Bridge (vehicular, simple)</t>
  </si>
  <si>
    <t>linear foot</t>
  </si>
  <si>
    <t>Fixed Culvert Crossing</t>
  </si>
  <si>
    <t>Seasonal Causeway / Low-Water Crossing</t>
  </si>
  <si>
    <t>crossings</t>
  </si>
  <si>
    <t>Temporary / Emergency Bridge</t>
  </si>
  <si>
    <t>bridges</t>
  </si>
  <si>
    <t>Stone Arch Bridge</t>
  </si>
  <si>
    <t>SUB-TERTIARY LINKS</t>
  </si>
  <si>
    <t>Footpath Construction</t>
  </si>
  <si>
    <t>Trail / Track Improvement (IMT-suitable)</t>
  </si>
  <si>
    <t>Pedestrian Trail Bridge</t>
  </si>
  <si>
    <t>Improvised / Community Bridge (log/plank/bamboo)</t>
  </si>
  <si>
    <t>Steel I-Beam Span Bridge</t>
  </si>
  <si>
    <t>Ferry / Non-Fixed Water Crossing (setup)</t>
  </si>
  <si>
    <t>Hillside Ladder / Stairway</t>
  </si>
  <si>
    <t>per meter</t>
  </si>
  <si>
    <t>Ropeway / Cableway</t>
  </si>
  <si>
    <t>installations</t>
  </si>
  <si>
    <t>ANCILLARY &amp; SAFETY INFRASTRUCTURE</t>
  </si>
  <si>
    <t>Drainage at Crossings</t>
  </si>
  <si>
    <t>Basic Signage / Wayfinding</t>
  </si>
  <si>
    <t>signs</t>
  </si>
  <si>
    <t>Lighting (solar)</t>
  </si>
  <si>
    <t>units</t>
  </si>
  <si>
    <t>Rest Stop / Waiting Shelter</t>
  </si>
  <si>
    <t>shelters</t>
  </si>
  <si>
    <t>ICT / Connectivity Point (Wi-Fi/mesh)</t>
  </si>
  <si>
    <t>Charging Point (solar)</t>
  </si>
  <si>
    <t>stations</t>
  </si>
  <si>
    <t>Vetiver Grass Slope Stabilization</t>
  </si>
  <si>
    <t>100 sq m site</t>
  </si>
  <si>
    <t>Geo Cell / Engineered Slope Stabilization</t>
  </si>
  <si>
    <t>Jute Netting / Erosion Control</t>
  </si>
  <si>
    <t>SECTION 3: BUDGET SUMMARY</t>
  </si>
  <si>
    <t>[Info for Cameron/Youdahe Only -- Ideally, this section would be side by side with Section 1 above when its constructed]</t>
  </si>
  <si>
    <t>Total Infrastructure Cost (Mid-Point Estimate)</t>
  </si>
  <si>
    <t>Capital Budget Available</t>
  </si>
  <si>
    <t>Remaining Capital Budget</t>
  </si>
  <si>
    <t>% of Capital Budget Used</t>
  </si>
  <si>
    <t>Maintenance Reserve</t>
  </si>
  <si>
    <t>Total Estimated RNTI Investment</t>
  </si>
  <si>
    <t>% of Total Corridor Project</t>
  </si>
  <si>
    <t>QUICK REFERENCE: Example Allocation Scenarios</t>
  </si>
  <si>
    <t>[Info for Cameron/Youdahe Only -- anywhere we could nestle this on the side to be a helpful reference</t>
  </si>
  <si>
    <t>% Allocation</t>
  </si>
  <si>
    <t>Budget = $100M</t>
  </si>
  <si>
    <t>Budget = $200M</t>
  </si>
  <si>
    <t>Budget = $400M</t>
  </si>
  <si>
    <t>Budget = $1B</t>
  </si>
  <si>
    <t>1%</t>
  </si>
  <si>
    <t>2%</t>
  </si>
  <si>
    <t>5%</t>
  </si>
  <si>
    <t>10%</t>
  </si>
  <si>
    <t>RNTI COST SOURCE DATA — Verifiable Sources with Integrated Blended Averages</t>
  </si>
  <si>
    <t>Each item section lists individual source data points and ends with a BLENDED AVERAGE row (Min / Max / Mid) computed from those points. Items with no verifiable source are intentionally blank for further research. Click source citations to open the original document.</t>
  </si>
  <si>
    <t>Low-Volume Rural Road (earth) (per km)</t>
  </si>
  <si>
    <t>Geography / Context</t>
  </si>
  <si>
    <t>Low Est. (USD)</t>
  </si>
  <si>
    <t>High Est. (USD)</t>
  </si>
  <si>
    <t>Source Mid</t>
  </si>
  <si>
    <t>Source Name</t>
  </si>
  <si>
    <t>Full Citation</t>
  </si>
  <si>
    <t>Year</t>
  </si>
  <si>
    <t>Africa (AfDB 2014 — regraveling of unpaved roads, small projects &lt;100 lane km, Q1-Q3)</t>
  </si>
  <si>
    <t>AfDB Study on Road Infrastructure Costs 2014</t>
  </si>
  <si>
    <t>Source: African Development Bank, Study on Road Infrastructure Costs — Analysis of Unit Costs and Cost Overruns of Road Infrastructure Projects in Africa, May 2014, Table 4-8 (regraveling projects &lt;100 lane km, quartile range)</t>
  </si>
  <si>
    <t>Africa (AfDB 2014 — regraveling of unpaved roads, large projects &gt;=100 lane km, Q1-Q3)</t>
  </si>
  <si>
    <t>Source: AfDB 2014 Study, Table 4-8, regraveling projects &gt;=100 lane km quartile range</t>
  </si>
  <si>
    <t>Global rural (WB Technical Paper 496 — typical basic access road, 2001 USD)</t>
  </si>
  <si>
    <t>World Bank Technical Paper 496 (2001)</t>
  </si>
  <si>
    <t>Source: World Bank, Technical Paper No. 496, Design and Appraisal of Rural Transport Infrastructure — Ensuring Basic Access for Rural Communities, 2001, p.20 (typical $5,000/km basic access road)</t>
  </si>
  <si>
    <t>India (WB TP 496 — formation &amp; gravel single-lane rural road, financial cost, 2001 USD)</t>
  </si>
  <si>
    <t>Source: World Bank TP 496, Table E.1.3, Warangal district rural road paving project, formation + gravel financial capital cost</t>
  </si>
  <si>
    <t>Earth-road construction in mountainous areas: $10,000 to 50,000/km</t>
  </si>
  <si>
    <t>https://www.ilo.org/sites/default/files/wcmsp5/groups/public/@ed_emp/@emp_policy/@invest/documents/instructionalmaterial/wcms_asist_8494.pdf</t>
  </si>
  <si>
    <t>Uganda (unsurfaced roads)</t>
  </si>
  <si>
    <t>https://assets.publishing.service.gov.uk/media/57a08bd7e5274a27b2000dc3/TI_UP_HD_Feb2007_Cost_of_Roads_in_Africa.pdf</t>
  </si>
  <si>
    <t>General global estimate from research</t>
  </si>
  <si>
    <t>[Rwanda numbers]</t>
  </si>
  <si>
    <t>https://blogs.worldbank.org/en/nasikiliza/road-to-prosperity-how-feeder-roads-are-creating-jobs-and-transforming-lives-in-rural-rwanda-afe-0425</t>
  </si>
  <si>
    <t>BLENDED AVERAGE (Min / Max / Mid)</t>
  </si>
  <si>
    <t>Low-Volume Rural Road (improved surface) (per km)</t>
  </si>
  <si>
    <t>Africa (AfDB 2014 — construction/upgrade of paved roads, small projects &lt;100 lane km, Q1-Q3)</t>
  </si>
  <si>
    <t>Source: AfDB 2014 Study, Table 4-5, construction/upgrading paved road projects &lt;100 lane km, Q1-Q3 range</t>
  </si>
  <si>
    <t>Africa (AfDB 2014 — rehabilitation of paved roads, small projects &lt;100 lane km, Q1-Q3)</t>
  </si>
  <si>
    <t>Source: AfDB 2014 Study, Table 4-6, rehabilitation paved road projects &lt;100 lane km, Q1-Q3 range</t>
  </si>
  <si>
    <t>Ghana (MCC Compact — Feeder Road Activity, 357 km for $71 M)</t>
  </si>
  <si>
    <t>MCC Ghana Transportation Final Evaluation Brief 2020</t>
  </si>
  <si>
    <t>Source: Millennium Challenge Corporation, Improving Roads to Reduce Transportation Costs in Ghana, Final Evaluation Brief, September 2020 ($71 M / 357 km rehabilitated feeder roads)</t>
  </si>
  <si>
    <t>India (WB TP 496 — surface treatment 6.5m wide, 2001 USD)</t>
  </si>
  <si>
    <t>Source: World Bank TP 496, Appendix F, Example 1 (surface treatment paving option, 6.5 m wide)</t>
  </si>
  <si>
    <t>India (WB TP 496 — concrete block 4.0 m / 6.5 m wide, 2001 USD)</t>
  </si>
  <si>
    <t>Source: World Bank TP 496, Appendix F, Example 1 (concrete block paving, 4.0 m and 6.5 m widths)</t>
  </si>
  <si>
    <t>India (WB TP 496 — India standard full rural road, 2001 USD)</t>
  </si>
  <si>
    <t>Source: World Bank TP 496, p.85 footnote (India standard single-lane rural road with 2cm bituminous + triple WBM + gravel layer)</t>
  </si>
  <si>
    <t>Rural Roads (China)</t>
  </si>
  <si>
    <t>https://fsi-live.s3.us-west-1.amazonaws.com/s3fs-public/wong-et-al-2013-providing_quality_infrastructure.pdf</t>
  </si>
  <si>
    <t>Rural Road Bridge (vehicular, simple) (per LF of deck)</t>
  </si>
  <si>
    <t>Global (Evercross 2024 — beam bridges, material + construction)</t>
  </si>
  <si>
    <t>Evercross Bridge, How Much Does It Cost To Build A Pedestrian Bridge? (2024)</t>
  </si>
  <si>
    <t>Source: Evercross Bridge / Bailey Bridge Solution, How Much Does It Cost To Build A Pedestrian Bridge?, 2024-12-16 (beam bridges $400-$1,600/LF; applied here as simple vehicular beam bridge analogue)</t>
  </si>
  <si>
    <t>India (WB TP 496 — major cross-drainage structure, per m of span, 2001 USD)</t>
  </si>
  <si>
    <t>Source: World Bank TP 496, Table E.1.3, Major CD $3,750/m financial capital cost converted to $/LF ($3,750 / 3.28 ft/m)</t>
  </si>
  <si>
    <t>US: single-lane rural bridge 20ft -24ft wide x 40 ft span</t>
  </si>
  <si>
    <t>https://www.fhwa.dot.gov/bridge/nbi/sd2024.cfm</t>
  </si>
  <si>
    <t>Source: US D.O.T. FHA</t>
  </si>
  <si>
    <t>20 ft (single lane, standard rural) $383/ft^2 = $7660/LF
24 ft = $9200/LF</t>
  </si>
  <si>
    <t>Fixed Culvert Crossing (per LF, installed)</t>
  </si>
  <si>
    <t>USA (Fairfax County VA — 4'x4' single box culvert)</t>
  </si>
  <si>
    <t>Fairfax County FY2026 Unit Price Schedule</t>
  </si>
  <si>
    <t>Source: Fairfax County Public Works, Unit Price Schedule, FY2026 (Feb 2026), Storm Sewer — Culverts, Single Box Culvert 4'x4'</t>
  </si>
  <si>
    <t>USA (Fairfax County VA — 8'x8' to 12'x8' box culvert)</t>
  </si>
  <si>
    <t>Source: Fairfax County Public Works, Unit Price Schedule, FY2026 (Feb 2026), Single/Oversized Box Culvert 8'x8' to 12'x8'</t>
  </si>
  <si>
    <t>Kenya (Lower Eastern — 900mm pipe culvert, with/without surround, installed)</t>
  </si>
  <si>
    <t>Kenya Cost Estimation Manual 2025 (Lower Eastern)</t>
  </si>
  <si>
    <t>Source: Republic of Kenya, Cost Estimation Manual for Road Construction and Maintenance Works 2025 — Lower Eastern Region, Items 08.60.026/027 (900mm pipe culvert), KES 5,719-19,673/m converted at 130 KES/USD and 3.28 ft/m</t>
  </si>
  <si>
    <t>Kenya (Lower Eastern — 1200mm pipe culvert, with/without surround, installed)</t>
  </si>
  <si>
    <t>Source: Republic of Kenya, Cost Estimation Manual 2025 — Lower Eastern Region, Items 08.60.028/029 (1200mm pipe culvert), KES 10,356-33,284/m converted</t>
  </si>
  <si>
    <t>USA (Pennsylvania DGLVR — 24"-36" HDPE pipe culvert, installed)</t>
  </si>
  <si>
    <t>Pennsylvania DGLVR Program Typical Costs 2015</t>
  </si>
  <si>
    <t>Source: Penn State Center for Dirt and Gravel Road Studies, DGLVR Program Summary of Typical Costs, April 2015, Drainage section — 24"-36" HDPE dual-wall smooth bore</t>
  </si>
  <si>
    <t>Seasonal Causeway / Low-Water Crossing (per crossing)</t>
  </si>
  <si>
    <t>USA (Forest Service — unvented ford)</t>
  </si>
  <si>
    <t>USDA Forest Service</t>
  </si>
  <si>
    <t>Low-Water Crossings: Geomorphic, Biological, and Engineering Design Considerations — Table 2.1 reports unvented ford construction costs of roughly $500–$2,500 per site.</t>
  </si>
  <si>
    <t>USA (Illinois — concrete low-water bridge)</t>
  </si>
  <si>
    <t>Illinois DNR / USFS case study</t>
  </si>
  <si>
    <t>Illinois case reported in USFS low-water crossings manual: concrete low-water bridge crossings constructed for approximately $40,000–$50,000 per site.</t>
  </si>
  <si>
    <t>Temporary / Emergency Bridge (per bridge)</t>
  </si>
  <si>
    <t>Global (Bailey / modular panel bridge)</t>
  </si>
  <si>
    <t>EverCross / Bailey Bridge industry data</t>
  </si>
  <si>
    <t>Bailey/modular panel bridge supply and erection commonly quoted at roughly $30–$50 per linear foot of deck area; a 60–80 ft single-lane span therefore falls in the ~$90k–$200k range for components plus local erection.</t>
  </si>
  <si>
    <t>Global (portable modular emergency bridge)</t>
  </si>
  <si>
    <t>Acrow / Mabey Bridge product literature</t>
  </si>
  <si>
    <t>Acrow and Mabey portable modular emergency bridges: short single-lane spans typically $50k–$250k depending on span length, deck width and delivery distance.</t>
  </si>
  <si>
    <t>Stonearch Bridge</t>
  </si>
  <si>
    <t>Kachingwe BOQ (Zambia)</t>
  </si>
  <si>
    <t>Fika</t>
  </si>
  <si>
    <t>Rwebeya BOQ (Rwanda)</t>
  </si>
  <si>
    <t>Nyakaruru BOQ (Rwanda)</t>
  </si>
  <si>
    <t>Buhoro BOQ (Rwanda)</t>
  </si>
  <si>
    <t>Enabel Stone Arch Average (Tanzania)</t>
  </si>
  <si>
    <t>https://www.globalconstructionreview.com/stone-age-bridge-revolution-gets-tanzania-moving/</t>
  </si>
  <si>
    <t>Footpath Construction (per km)</t>
  </si>
  <si>
    <t>Honey Creek Parkway Construction of bike trail from Portland Ave to 70th St, not including bridge construction, is $149,206 per mile for 10 foot wide asphalt trail  (USA)</t>
  </si>
  <si>
    <t>Link</t>
  </si>
  <si>
    <t>South Side Trail (a.k.a. Kinnickinnic River Bicycle Trail) for base construction including trail amenities, signage, and drainage issues is $176,470 per mile for a 10 foot wide asphalt trail (USA)</t>
  </si>
  <si>
    <t>Root River, from 60th St. under Hwy 100 to Rainbow Airport, not including boardwalk is $301,014 per mile for 10 foot wide asphalt trail* (USA)</t>
  </si>
  <si>
    <t>Milwaukee County's estimate for construction of the 6.5 mile Hank Aaron State Trail (West Allis Line) is $224,307 per mile for a 10 foot wide asphalt trail (including retrofit of bridges) (USA)</t>
  </si>
  <si>
    <t>Footpath-to-motorcycle track (Liberia)</t>
  </si>
  <si>
    <t>https://fika-org.box.com/s/upnsgk1tfkw27y4u5hlg6jui9ds63gse</t>
  </si>
  <si>
    <t>2m wide track (Liberia)</t>
  </si>
  <si>
    <t>https://www.emerald.com/jtran/article/169/6/378/407154/Rural-connectivity-in-Africa-motorcycle-track</t>
  </si>
  <si>
    <t>Trail / Track Improvement (IMT-suitable) (per km)</t>
  </si>
  <si>
    <t>Zimbabwe (labor-based rural track rehab)</t>
  </si>
  <si>
    <t>ILO ASIST / World Bank SSATP</t>
  </si>
  <si>
    <t>Zimbabwe labor-based rural track rehabilitation reported at approximately $13,000–$14,000 per kilometer under the ASIST programme.</t>
  </si>
  <si>
    <t>Uganda (labor-based periodic maintenance)</t>
  </si>
  <si>
    <t>World Bank SSATP Working Paper</t>
  </si>
  <si>
    <t>Uganda labor-based periodic maintenance of rural tracks averaged roughly $6,000–$9,000 per km, with reported averages near $7,800/km.</t>
  </si>
  <si>
    <t>Lesotho (labor-based annual)</t>
  </si>
  <si>
    <t>Pedestrian Trail Bridge (cable suspension / cable-stayed) (per LF of deck)</t>
  </si>
  <si>
    <t>Global (Evercross 2024 — cable-stayed pedestrian bridges)</t>
  </si>
  <si>
    <t>Source: Evercross Bridge / Bailey Bridge Solution, 2024-12-16, cable-stayed pedestrian bridges $1,000-$3,000/LF</t>
  </si>
  <si>
    <t>Global (Evercross 2024 — suspension pedestrian bridges)</t>
  </si>
  <si>
    <t>Source: Evercross Bridge, 2024-12-16, suspension bridges 'upwards of $2,000/LF' (range $2,000-$3,000 estimated for fully suspended structures)</t>
  </si>
  <si>
    <t>Fika General Average (67.217198 meters across our 800 bridges)</t>
  </si>
  <si>
    <t>Fika estimates (75k-145k per bridge)</t>
  </si>
  <si>
    <t>Improvised / Community Bridge (log, plank, bamboo) (per LF of deck)</t>
  </si>
  <si>
    <t>Global (Evercross 2024 — wooden pedestrian bridges, simple timber)</t>
  </si>
  <si>
    <t>Source: Evercross Bridge, 2024-12-16, wooden pedestrian bridges $300-$600/LF</t>
  </si>
  <si>
    <t>Steel I-Beam Span Bridge (per LF of deck)</t>
  </si>
  <si>
    <t>Global (Evercross 2024 — steel beam bridges)</t>
  </si>
  <si>
    <t>Source: Evercross Bridge, 2024-12-16, steel beam bridges $400-$1,600/LF</t>
  </si>
  <si>
    <t>Global (Evercross 2024 — steel truss pedestrian bridges)</t>
  </si>
  <si>
    <t>Source: Evercross Bridge, 2024-12-16, steel truss bridges $500-$2,000/LF</t>
  </si>
  <si>
    <t>Ferry / Non-Fixed Water Crossing (setup) (per crossing)</t>
  </si>
  <si>
    <t>Floating Dock (USA)</t>
  </si>
  <si>
    <t>https://www.dockgearsupply.com/blogs/blog/dock-building-costs-in-2025-full-price-breakdown-guide</t>
  </si>
  <si>
    <t>Piling Dock (USA)</t>
  </si>
  <si>
    <t>Crib Dock (USA)</t>
  </si>
  <si>
    <t>Aluminum Pipe (USA)</t>
  </si>
  <si>
    <t>Double-Decker (USA)</t>
  </si>
  <si>
    <t>Hillside Ladder / Stairway (per installation)</t>
  </si>
  <si>
    <t>Steel Ladder Steps/meter</t>
  </si>
  <si>
    <t>Uganda MELTC Engineer</t>
  </si>
  <si>
    <t>Stone Masonry steps/cubic meter</t>
  </si>
  <si>
    <t>Ropeway / Cableway (per installation)</t>
  </si>
  <si>
    <t>Nepal (gravity goods ropeway)</t>
  </si>
  <si>
    <t>Practical Action Nepal</t>
  </si>
  <si>
    <t>Practical Action Nepal gravity goods ropeway installations reported at approximately Rs 2 million per ropeway (~US$15,000), with typical per-installation range of $12k–$18k depending on span and terminal design.</t>
  </si>
  <si>
    <t>India - portable cableway</t>
  </si>
  <si>
    <t>https://www.gondolaproject.com/2014/07/08/portable-agricultural-cableways/</t>
  </si>
  <si>
    <t>Drainage at Crossings (per LF pipe, installed)</t>
  </si>
  <si>
    <t>USA (Pennsylvania DGLVR — 12" HDPE pipe, installed)</t>
  </si>
  <si>
    <t>Source: Penn State DGLVR, Summary of Typical Costs, April 2015, 12" HDPE dual-wall smooth bore drainage culvert</t>
  </si>
  <si>
    <t>USA (Pennsylvania DGLVR — 15"-18" HDPE pipe, installed)</t>
  </si>
  <si>
    <t>Source: Penn State DGLVR, Summary of Typical Costs, April 2015, 15"-18" HDPE dual-wall smooth bore</t>
  </si>
  <si>
    <t>Kenya (Lower Eastern — 300mm pipe culvert without surround, installed)</t>
  </si>
  <si>
    <t>Source: Kenya CEM 2025 — Lower Eastern Region, Item 08.60.020 (300mm pipe w/o surround), KES 2,694-3,556/m converted at 130 KES/USD and 3.28 ft/m</t>
  </si>
  <si>
    <t>Kenya (Lower Eastern — 450mm &amp; 600mm pipe culvert, with/without surround, installed)</t>
  </si>
  <si>
    <t>Source: Kenya CEM 2025 — Lower Eastern Region, Items 08.60.022-025 (450mm &amp; 600mm pipe culvert, with/without surround), KES 3,808-17,268/m converted</t>
  </si>
  <si>
    <t>Basic Signage (per sign, installed)</t>
  </si>
  <si>
    <t>USA (Fairfax County VA — stormwater, street-name, traffic control signs)</t>
  </si>
  <si>
    <t>Source: Fairfax County Public Works, Unit Price Schedule, FY2026 (Feb 2026), Stormwater sign $128 EA; Traffic control signs $584 EA; Street name signs $675 EA</t>
  </si>
  <si>
    <t>Kenya (Lower Eastern — warning/priority triangular sign 600mm, direct/installed)</t>
  </si>
  <si>
    <t>Source: Kenya CEM 2025 — Lower Eastern Region, Items 20.70.002/005 (warning/priority triangular sign 600mm), KES 14,544 direct / 24,391 installed converted at 130 KES/USD</t>
  </si>
  <si>
    <t>Kenya (Lower Eastern — standard informatory sign, direct/installed)</t>
  </si>
  <si>
    <t>Source: Kenya CEM 2025 — Lower Eastern Region, Item 20.70.004 (standard informatory sign), KES 18,502 direct / 30,138 installed converted</t>
  </si>
  <si>
    <t>Lighting (solar) (per unit)</t>
  </si>
  <si>
    <t>Uganda (solar LED street lighting)</t>
  </si>
  <si>
    <t>UNDP / MEMD Uganda rural electrification</t>
  </si>
  <si>
    <t>Uganda solar LED street lighting units installed at roughly $1,600 each (range $1,200–$1,800) versus ~$2,150 for grid-connected alternatives.</t>
  </si>
  <si>
    <t>Global (all-in-one solar street light)</t>
  </si>
  <si>
    <t>IRENA / industry suppliers</t>
  </si>
  <si>
    <t>Commercial all-in-one solar street light units range widely from ~$200 (small community units) to ~$2,500 (higher lumen integrated pole systems) depending on lumen output and battery size.</t>
  </si>
  <si>
    <t>Rest Stop / Waiting Shelter (per shelter)</t>
  </si>
  <si>
    <t>USA (Fairfax County VA — prefabricated bus/waiting shelter)</t>
  </si>
  <si>
    <t>Source: Fairfax County Public Works, Unit Price Schedule, FY2026 (Feb 2026), Miscellaneous Site Improvements — Bus shelter $33,681 EA</t>
  </si>
  <si>
    <t>ICT / Connectivity Point (Wi-Fi/mesh) (per installation)</t>
  </si>
  <si>
    <t>India (The Ashwini Project in Andhra Pradesh, India -- capital cost of $5,000 per node) *best reference</t>
  </si>
  <si>
    <t>NA</t>
  </si>
  <si>
    <t>Wireless multihop backhauls for rural areas: A preliminary study</t>
  </si>
  <si>
    <r>
      <rPr/>
      <t xml:space="preserve">Zaidi Z., Lan K. (2017) Wireless multihop backhauls for rural areas: A preliminary study. PLoS ONE 12(4): e0175358. </t>
    </r>
    <r>
      <rPr>
        <color rgb="FF1155CC"/>
        <u/>
      </rPr>
      <t>https://doi.org/10.1371/journal.pone.0175358</t>
    </r>
  </si>
  <si>
    <t>Low End Mesh Systems</t>
  </si>
  <si>
    <t>Higher End Mesh Systems</t>
  </si>
  <si>
    <t xml:space="preserve">
Global -- Keeping this reference for contextual support, but it's too much of a stretch to use any values from here to support the cost per installation</t>
  </si>
  <si>
    <t>Connection Humanity Action Blueprint</t>
  </si>
  <si>
    <r>
      <t xml:space="preserve">International Telecommunication Union. (2025). Connecting humanity action blueprint: Advancing sustainable, affordable and innovative solutions. ITU. </t>
    </r>
    <r>
      <rPr>
        <color rgb="FF1155CC"/>
        <u/>
      </rPr>
      <t>https://www.itu.int/dms_pub/itu-s/opb/gen/s-gen-invest.con-2025-pdf-e.pdf</t>
    </r>
  </si>
  <si>
    <t>mesh system (e.g., Ubiquiti, GL.iNet) + labor + small solar panel + battery, weatherproof enclosure, *this scenario does not assume backhaul infrastructure
ex pricing: $30-$200 (individual node) + Router ($50-$300) + Solar Power/Battery System ($200-$1000) + Backhaul Connection ($50/$150 per month so not part of installation), Installation/Mountain Hardware ($50-$200)</t>
  </si>
  <si>
    <t>More robust unit with LTE/satellite backhaul integration (e.g., Peplink or Mikrotik), larger solar array, pole mounting, surge protection, and remote management capability.</t>
  </si>
  <si>
    <r>
      <rPr>
        <color rgb="FF1F1F1F"/>
      </rPr>
      <t xml:space="preserve">*Cost per GB (not installation), but good case study from rural SA: </t>
    </r>
    <r>
      <rPr>
        <color rgb="FF0000FF"/>
        <u/>
      </rPr>
      <t>https://www.connectingafrica.com/digital-inclusion/solar-powered-wi-fi-hotspots-connect-sa-rural-residents</t>
    </r>
  </si>
  <si>
    <t>USA -- per household as opposed to multiple households</t>
  </si>
  <si>
    <t>Fixed Wireless Home Broadband Service – A Critical Solution for Closing Connectivity Gaps in Rural America</t>
  </si>
  <si>
    <t>News article from Wireless Infrastructure Association</t>
  </si>
  <si>
    <t>Starlink - includes dish, wi-fi router, cables, base mount, installation + extra for more robust solar and off-grid implementation</t>
  </si>
  <si>
    <t>Charging Point (solar) (per station)</t>
  </si>
  <si>
    <t>Rwanda (ARED solar mobile kiosk)</t>
  </si>
  <si>
    <t>ARED (African Renewable Energy Distributor)</t>
  </si>
  <si>
    <t>ARED Rwanda solar mobile charging kiosks distributed via lease-to-own for ~$100 down plus installments; total kit cost approximately $300–$1,500 depending on panel size and battery pack.</t>
  </si>
  <si>
    <t>Sub-Saharan Africa (community solar charging station)</t>
  </si>
  <si>
    <t>GIZ / EnDev rural energy programme</t>
  </si>
  <si>
    <t>Community-scale solar charging stations (multi-port, for phones and small e-mobility) reported at $1,500–$5,000 per station including panels, battery, and weatherproof housing.</t>
  </si>
  <si>
    <t>Vetiver Grass Slope Stabilization (per site)</t>
  </si>
  <si>
    <t>Thailand (vetiver vs. concrete retaining)</t>
  </si>
  <si>
    <t>The Vetiver Network International</t>
  </si>
  <si>
    <t>Thailand case studies: concrete retaining walls cost roughly 75,000 baht/m (~$2,200/m) while vetiver grass slope stabilization is typically ~10% of hard engineering cost; reported per-site costs fall in the $500–$3,000 range for short embankment treatments.</t>
  </si>
  <si>
    <t>Nepal / India (bio-engineering slope protection)</t>
  </si>
  <si>
    <t>ICIMOD / Roughan &amp; O'Donovan bio-engineering manual</t>
  </si>
  <si>
    <t>Nepal and India bio-engineering slope protection (vetiver and native grasses) on rural road cut slopes commonly reported at $300–$2,000 per site for labor, planting stock, and initial maintenance.</t>
  </si>
  <si>
    <t>Fika Vetiver Pilot in Rwanda</t>
  </si>
  <si>
    <t>https://fika-org.app.box.com/file/2033911441922?s=pl7ykq3pg424vgcmdc0tgshdxh1kw7m2</t>
  </si>
  <si>
    <t>450 sq m, so double rough cost of 2.25 mil RWF</t>
  </si>
  <si>
    <t>Jute Netting / Erosion Control (per site)</t>
  </si>
  <si>
    <t>Global (jute/coir erosion blanket material)</t>
  </si>
  <si>
    <t>Wellco Industries / erosion control suppliers</t>
  </si>
  <si>
    <t>Jute and coir erosion control netting quoted at roughly $0.50–$1.50 per square foot of material; a typical 500–1000 sq ft site treatment therefore costs $400–$1,500 for material alone.</t>
  </si>
  <si>
    <t>USA (installed jute netting, per sq ft basis)</t>
  </si>
  <si>
    <t>Homewyse / contractor cost data</t>
  </si>
  <si>
    <t>Installed jute netting reported at $1.82–$6.71 per square foot; a 500–1000 sq ft per-site treatment yields an installed cost range of roughly $900–$6,700 including labor.</t>
  </si>
  <si>
    <t>Geo Cell / Engineered Slope Stabilization (per site)</t>
  </si>
  <si>
    <t>Materials plus installation</t>
  </si>
  <si>
    <t>https://www.bpmgeosynthetics.com/how-much-does-geocell-cost-per-square-foot/</t>
  </si>
  <si>
    <t>Total Cost Range (Materials): $0.40–$4.50 per square foot.
Total Cost Range (Including Installation): $0.90–$6.50 per square foot. For a 100 sq m site (≈ 1,076.39 sq ft):
Materials only ($0.40–$4.50/sq ft):
Low end: ~$430
High end: ~$4,844
Including installation ($0.90–$6.50/sq ft):
Low end: ~$969
High end: ~$6,996
So a 100 sq m geocell slope-stabilization site would likely fall somewhere in the ~$1,000 to ~$7,000 range all-in, with most rural projects clustering in the lower-to-middle portion of that range (rural labor rates are at the lower end, and HDPE in shallow cell depths is typically toward the middle of the materials range).</t>
  </si>
  <si>
    <t>https://www.geosyntheticscn.com/what-does-geocell-cost-per-square-foot/</t>
  </si>
  <si>
    <t>CORRIDOR ADD-ON CALCULATOR — RNTI BUDGET PLANNING TOOL</t>
  </si>
  <si>
    <t>PURPOSE</t>
  </si>
  <si>
    <t>This tool helps rural transport planners estimate what Rural Networked Transport Infrastructure (RNTI)</t>
  </si>
  <si>
    <t>investments could be funded by allocating a small percentage of a larger corridor-level transport budget.</t>
  </si>
  <si>
    <t>It is intended as a conversation starter — not a final costing tool.</t>
  </si>
  <si>
    <t>HOW TO USE</t>
  </si>
  <si>
    <t>1. Go to the 'Budget Calculator' sheet.</t>
  </si>
  <si>
    <t>2. Enter your total corridor project budget (USD) in the yellow input cell.</t>
  </si>
  <si>
    <t>3. Enter the percentage of that budget to allocate to RNTI (e.g., 1%, 5%, 10%).</t>
  </si>
  <si>
    <t>4. Optionally adjust the maintenance reserve percentage.</t>
  </si>
  <si>
    <t>5. In the Infrastructure Mix table, enter a quantity next to any RNTI type you want to fund.</t>
  </si>
  <si>
    <t>6. The tool auto-calculates total costs, remaining budget, and a summary at the bottom.</t>
  </si>
  <si>
    <t>COLOR CODING</t>
  </si>
  <si>
    <t>Blue text on yellow background = User inputs (editable fields)</t>
  </si>
  <si>
    <t>Black text = Formulas and calculated values (do not edit)</t>
  </si>
  <si>
    <t>Green text = Links pulling from another sheet in this workbook</t>
  </si>
  <si>
    <t>METHODOLOGY (summary)</t>
  </si>
  <si>
    <t>Each RNTI infrastructure type has cost data points drawn from verifiable, hyperlinked sources</t>
  </si>
  <si>
    <t>(institutional reports, national cost manuals, practitioner data, academic literature).</t>
  </si>
  <si>
    <t>For each item: Blended Min = average of all source low estimates; Blended Max = average of</t>
  </si>
  <si>
    <t>all source high estimates; Blended Mid = average of Blended Min and Max. All sources are</t>
  </si>
  <si>
    <t>listed on the 'Source Data' sheet with full citations and clickable hyperlinks.</t>
  </si>
  <si>
    <t>Items without a verifiable source are intentionally left blank for further research.</t>
  </si>
  <si>
    <t>IMPORTANT CAVEATS</t>
  </si>
  <si>
    <t>- All unit costs are rough estimates based on available literature and practitioner experience.</t>
  </si>
  <si>
    <t>- Actual costs vary significantly by country, terrain, locally available materials, and labor costs.</t>
  </si>
  <si>
    <t>- This tool does NOT estimate population impact or geographic prioritization (planned for V2).</t>
  </si>
  <si>
    <t>- Maintenance costs are represented as a simple percentage reserve, not lifecycle analysis.</t>
  </si>
  <si>
    <t>- Infrastructure types are drawn from the RNTI taxonomy in Segerberg &amp; Noriega (2026).</t>
  </si>
  <si>
    <t>- Community labor contributions can reduce capital costs 30-60% (not consistently captured).</t>
  </si>
  <si>
    <t>- Costs exclude land acquisition, design fees, and construction supervision.</t>
  </si>
  <si>
    <t>SHEETS IN THIS WORKBOOK</t>
  </si>
  <si>
    <t>Instructions — This sheet. Purpose, usage, methodology summary, caveats.</t>
  </si>
  <si>
    <t>Budget Calculator — Main interactive calculator with inputs, unit costs, quantities, and results.</t>
  </si>
  <si>
    <t>Source Data — Verifiable cost data points by item, with hyperlinked sources and integrated blended averages.</t>
  </si>
  <si>
    <t>RNTI Components — Full RNTI taxonomy reference (Segerberg &amp; Noriega 2026, Table 1).</t>
  </si>
  <si>
    <t>DEVELOPED BY</t>
  </si>
  <si>
    <t>Fika (formerly Bridges to Prosperity) — Rural Planning / ITF 2026</t>
  </si>
  <si>
    <t>Contact: brookesegerberg@fika.org | brandenryan@fika.org</t>
  </si>
  <si>
    <t>KEY REFERENCES</t>
  </si>
  <si>
    <t>Segerberg, B. &amp; Noriega, A. (2026). Advancing Inclusive, Multimodal, Climate-Resilient Planning</t>
  </si>
  <si>
    <t xml:space="preserve">  for Rural Networked Transport Infrastructure. Sustainability, 18, 2842.</t>
  </si>
  <si>
    <t>Lebo, J. &amp; Schelling, D. (2001). Design and Appraisal of Rural Transport Infrastructure.</t>
  </si>
  <si>
    <t xml:space="preserve">  World Bank Technical Paper No. 496.</t>
  </si>
  <si>
    <t>AfDB (2014). Study on Road Infrastructure Costs: Analysis of Unit Costs and Cost Overruns.</t>
  </si>
  <si>
    <t>TABLE 1: RNTI COMPONENTS (Segerberg &amp; Noriega, 2026)</t>
  </si>
  <si>
    <t>Source: Sustainability 2026, 18, 2842. https://doi.org/10.3390/su18062842</t>
  </si>
  <si>
    <t>Link Order</t>
  </si>
  <si>
    <t>Order 3 Tertiary Links (Road Dominant)</t>
  </si>
  <si>
    <t>Sub-Tertiary Links (Paths, Trails, Crossings)</t>
  </si>
  <si>
    <t>Corridor Level</t>
  </si>
  <si>
    <t>Inter-/intra-district; connects clusters of villages and local centers to all-weather roads and higher-order networks. In riverine contexts, connectivity may also be provided by water-based connectors.</t>
  </si>
  <si>
    <t>Hyperlocal; connects dispersed households, farms, and hamlets to the nearest tertiary link or community connector.</t>
  </si>
  <si>
    <t>Primary Function</t>
  </si>
  <si>
    <t>Facilitates movement of goods and people between villages, agricultural zones, markets, and service hubs.</t>
  </si>
  <si>
    <t>Provides first-/last-mile access by connecting households and farms to tertiary links and nearby services.</t>
  </si>
  <si>
    <t>Typical Users</t>
  </si>
  <si>
    <t>Local residents; smallholder and commercial farmers; informal transport operators.</t>
  </si>
  <si>
    <t>Rural households; school children; pedestrians; subsistence farmers; informal transporters.</t>
  </si>
  <si>
    <t>Typical Transport Modes</t>
  </si>
  <si>
    <t>Mixed traffic, including light motorized vehicles (e.g., small trucks, tricycles, motorcycles), IMTs (e.g., animal-drawn carts, bicycles, rickshaws).</t>
  </si>
  <si>
    <t>Predominantly NMT (walking, bicycles, livestock, handcarts). In riverine contexts, may include indigenous watercrafts and small motorized modes.</t>
  </si>
  <si>
    <t>Types of Infrastructure Links</t>
  </si>
  <si>
    <t>LVRs: unpaved rural roads, tracks suitable for IMT.
Informal/ghost roads.
Engineered bridges &amp; fixed crossings.
Seasonal causeways/low-water crossings.
Temporary/emergency links.</t>
  </si>
  <si>
    <t>Low-capacity paths, trails, tracks.
Improvised crossings (log, plank, bamboo bridges).
Engineered trail bridges (cable trail bridges).
Non-fixed crossings (ferries, canoes).
Vertical/non-standard links (ladders, ropeways).</t>
  </si>
  <si>
    <t>Emerging Access (Non-link)</t>
  </si>
  <si>
    <t>N/A</t>
  </si>
  <si>
    <t>Drones and UAVs via aerial routes and associated support infrastructure.</t>
  </si>
  <si>
    <t>Engineering &amp; Formality</t>
  </si>
  <si>
    <t>Generally engineered or semi-engineered; formally planned and maintained through district/national agencies.</t>
  </si>
  <si>
    <t>Predominantly non-engineered and informally developed by communities; some types may be formally built.</t>
  </si>
  <si>
    <t>Ancillary &amp; Safety Infrastructure</t>
  </si>
  <si>
    <t>Drainage, signage/reflectors, waiting shelters, embankments, safety features. Context-dependent: lighting, ICT, charging points.</t>
  </si>
  <si>
    <t>Drainage at crossings, wayfinding/signage, benches/rest points, informal repair services. Emerging: ICT, charging points, rest stops.</t>
  </si>
  <si>
    <t>IMT = Intermediate Modes of Transport; LVR = Low-Volume Road; ICT = Information &amp; Communication Technology; NMT = Non-Motorized Transport; UAV = Unmanned Aerial Vehicle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</si>
</sst>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
    <numFmt numFmtId="165" formatCode="0.0%"/>
    <numFmt numFmtId="166" formatCode="\$#,##0;&quot;($&quot;#,##0\);\-"/>
    <numFmt numFmtId="167" formatCode="\$#,##0;[Red]&quot;($&quot;#,##0\)"/>
    <numFmt numFmtId="168" formatCode="&quot;$&quot;#,##0"/>
    <numFmt numFmtId="169" formatCode="&quot;$&quot;#,##0.00"/>
  </numFmts>
  <fonts count="40">
    <font>
      <sz val="11.0"/>
      <color theme="1"/>
      <name val="Calibri"/>
      <scheme val="minor"/>
    </font>
    <font>
      <b/>
      <sz val="14.0"/>
      <color rgb="FFFFFFFF"/>
      <name val="Arial"/>
    </font>
    <font/>
    <font>
      <u/>
      <color rgb="FF0000FF"/>
    </font>
    <font>
      <i/>
      <u/>
      <sz val="10.0"/>
      <color rgb="FF595959"/>
      <name val="Arial"/>
    </font>
    <font>
      <i/>
      <sz val="10.0"/>
      <color rgb="FF595959"/>
      <name val="Arial"/>
    </font>
    <font>
      <b/>
      <sz val="11.0"/>
      <color rgb="FFFFFFFF"/>
      <name val="Arial"/>
    </font>
    <font>
      <i/>
      <sz val="9.0"/>
      <color rgb="FF595959"/>
      <name val="Arial"/>
    </font>
    <font>
      <sz val="10.0"/>
      <color theme="1"/>
      <name val="Arial"/>
    </font>
    <font>
      <b/>
      <sz val="10.0"/>
      <color rgb="FF0000FF"/>
      <name val="Arial"/>
    </font>
    <font>
      <b/>
      <sz val="10.0"/>
      <color theme="1"/>
      <name val="Arial"/>
    </font>
    <font>
      <b/>
      <sz val="10.0"/>
      <color rgb="FFFFFFFF"/>
      <name val="Arial"/>
    </font>
    <font>
      <sz val="10.0"/>
      <color rgb="FF008000"/>
      <name val="Arial"/>
    </font>
    <font>
      <b/>
      <sz val="10.0"/>
      <color rgb="FF008000"/>
      <name val="Arial"/>
    </font>
    <font>
      <b/>
      <sz val="10.0"/>
      <color rgb="FF1E4D2B"/>
      <name val="Arial"/>
    </font>
    <font>
      <sz val="10.0"/>
      <color rgb="FF000000"/>
      <name val="Arial"/>
    </font>
    <font>
      <u/>
      <sz val="11.0"/>
      <color theme="10"/>
      <name val="Calibri"/>
    </font>
    <font>
      <sz val="8.0"/>
      <color rgb="FF595959"/>
      <name val="Arial"/>
    </font>
    <font>
      <u/>
      <sz val="11.0"/>
      <color theme="10"/>
      <name val="Calibri"/>
    </font>
    <font>
      <sz val="11.0"/>
      <color theme="1"/>
      <name val="Calibri"/>
    </font>
    <font>
      <b/>
      <sz val="10.0"/>
      <color rgb="FF000000"/>
      <name val="Arial"/>
    </font>
    <font>
      <sz val="11.0"/>
      <color theme="10"/>
      <name val="Calibri"/>
    </font>
    <font>
      <u/>
      <sz val="9.0"/>
      <color rgb="FF0000FF"/>
      <name val="Arial"/>
    </font>
    <font>
      <u/>
      <sz val="11.0"/>
      <color theme="10"/>
      <name val="Calibri"/>
    </font>
    <font>
      <color theme="1"/>
      <name val="Calibri"/>
      <scheme val="minor"/>
    </font>
    <font>
      <u/>
      <sz val="9.0"/>
      <color rgb="FF0000FF"/>
      <name val="Arial"/>
    </font>
    <font>
      <sz val="9.0"/>
      <color theme="1"/>
      <name val="Arial"/>
    </font>
    <font>
      <u/>
      <sz val="9.0"/>
      <color rgb="FF0000FF"/>
      <name val="Arial"/>
    </font>
    <font>
      <u/>
      <sz val="10.0"/>
      <color rgb="FF0000FF"/>
      <name val="Arial"/>
    </font>
    <font>
      <u/>
      <sz val="9.0"/>
      <color rgb="FF0000FF"/>
      <name val="Arial"/>
    </font>
    <font>
      <u/>
      <sz val="10.0"/>
      <color rgb="FF0000FF"/>
      <name val="Arial"/>
    </font>
    <font>
      <u/>
      <color rgb="FF0000FF"/>
    </font>
    <font>
      <u/>
      <color rgb="FF0000FF"/>
    </font>
    <font>
      <u/>
      <color rgb="FF0000FF"/>
    </font>
    <font>
      <u/>
      <sz val="11.0"/>
      <color rgb="FF0000FF"/>
      <name val="Calibri"/>
    </font>
    <font>
      <u/>
      <sz val="10.0"/>
      <color rgb="FF0000FF"/>
      <name val="Arial"/>
    </font>
    <font>
      <b/>
      <sz val="11.0"/>
      <color rgb="FF1E4D2B"/>
      <name val="Arial"/>
    </font>
    <font>
      <i/>
      <sz val="9.0"/>
      <color rgb="FF666666"/>
      <name val="Arial"/>
    </font>
    <font>
      <b/>
      <sz val="10.0"/>
      <color rgb="FF333333"/>
      <name val="Arial"/>
    </font>
    <font>
      <sz val="10.0"/>
      <color rgb="FF333333"/>
      <name val="Arial"/>
    </font>
  </fonts>
  <fills count="12">
    <fill>
      <patternFill patternType="none"/>
    </fill>
    <fill>
      <patternFill patternType="lightGray"/>
    </fill>
    <fill>
      <patternFill patternType="solid">
        <fgColor rgb="FF1E4D2B"/>
        <bgColor rgb="FF1E4D2B"/>
      </patternFill>
    </fill>
    <fill>
      <patternFill patternType="solid">
        <fgColor rgb="FF548235"/>
        <bgColor rgb="FF548235"/>
      </patternFill>
    </fill>
    <fill>
      <patternFill patternType="solid">
        <fgColor rgb="FFFFFF00"/>
        <bgColor rgb="FFFFFF00"/>
      </patternFill>
    </fill>
    <fill>
      <patternFill patternType="solid">
        <fgColor rgb="FFE2EFDA"/>
        <bgColor rgb="FFE2EFDA"/>
      </patternFill>
    </fill>
    <fill>
      <patternFill patternType="solid">
        <fgColor rgb="FF375623"/>
        <bgColor rgb="FF375623"/>
      </patternFill>
    </fill>
    <fill>
      <patternFill patternType="solid">
        <fgColor rgb="FFA9D08E"/>
        <bgColor rgb="FFA9D08E"/>
      </patternFill>
    </fill>
    <fill>
      <patternFill patternType="solid">
        <fgColor rgb="FFC6E0B4"/>
        <bgColor rgb="FFC6E0B4"/>
      </patternFill>
    </fill>
    <fill>
      <patternFill patternType="solid">
        <fgColor rgb="FF1B5E20"/>
        <bgColor rgb="FF1B5E20"/>
      </patternFill>
    </fill>
    <fill>
      <patternFill patternType="solid">
        <fgColor rgb="FF2E7D32"/>
        <bgColor rgb="FF2E7D32"/>
      </patternFill>
    </fill>
    <fill>
      <patternFill patternType="solid">
        <fgColor rgb="FFF5F5F5"/>
        <bgColor rgb="FFF5F5F5"/>
      </patternFill>
    </fill>
  </fills>
  <borders count="9">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center"/>
    </xf>
    <xf borderId="2" fillId="0" fontId="2" numFmtId="0" xfId="0" applyBorder="1" applyFont="1"/>
    <xf borderId="3" fillId="0" fontId="2" numFmtId="0" xfId="0" applyBorder="1" applyFont="1"/>
    <xf borderId="0" fillId="0" fontId="3"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shrinkToFit="0" wrapText="1"/>
    </xf>
    <xf borderId="1" fillId="3" fontId="6" numFmtId="0" xfId="0" applyAlignment="1" applyBorder="1" applyFill="1" applyFont="1">
      <alignment horizontal="left" readingOrder="0" vertical="center"/>
    </xf>
    <xf borderId="0" fillId="0" fontId="7" numFmtId="0" xfId="0" applyAlignment="1" applyFont="1">
      <alignment readingOrder="0"/>
    </xf>
    <xf borderId="0" fillId="0" fontId="8" numFmtId="0" xfId="0" applyFont="1"/>
    <xf borderId="4" fillId="4" fontId="9" numFmtId="0" xfId="0" applyAlignment="1" applyBorder="1" applyFill="1" applyFont="1">
      <alignment readingOrder="0"/>
    </xf>
    <xf borderId="0" fillId="0" fontId="8" numFmtId="0" xfId="0" applyAlignment="1" applyFont="1">
      <alignment readingOrder="0"/>
    </xf>
    <xf borderId="4" fillId="4" fontId="9" numFmtId="164" xfId="0" applyAlignment="1" applyBorder="1" applyFont="1" applyNumberFormat="1">
      <alignment readingOrder="0"/>
    </xf>
    <xf borderId="4" fillId="4" fontId="9" numFmtId="165" xfId="0" applyAlignment="1" applyBorder="1" applyFont="1" applyNumberFormat="1">
      <alignment readingOrder="0"/>
    </xf>
    <xf borderId="4" fillId="0" fontId="8" numFmtId="164" xfId="0" applyBorder="1" applyFont="1" applyNumberFormat="1"/>
    <xf borderId="0" fillId="0" fontId="7" numFmtId="0" xfId="0" applyFont="1"/>
    <xf borderId="4" fillId="5" fontId="10" numFmtId="164" xfId="0" applyBorder="1" applyFill="1" applyFont="1" applyNumberFormat="1"/>
    <xf borderId="1" fillId="3" fontId="6" numFmtId="0" xfId="0" applyAlignment="1" applyBorder="1" applyFont="1">
      <alignment horizontal="left" vertical="center"/>
    </xf>
    <xf borderId="4" fillId="6" fontId="11" numFmtId="0" xfId="0" applyAlignment="1" applyBorder="1" applyFill="1" applyFont="1">
      <alignment horizontal="center" shrinkToFit="0" vertical="center" wrapText="1"/>
    </xf>
    <xf borderId="4" fillId="6" fontId="11" numFmtId="0" xfId="0" applyAlignment="1" applyBorder="1" applyFont="1">
      <alignment horizontal="center" readingOrder="0" shrinkToFit="0" vertical="center" wrapText="1"/>
    </xf>
    <xf borderId="1" fillId="7" fontId="11" numFmtId="0" xfId="0" applyAlignment="1" applyBorder="1" applyFill="1" applyFont="1">
      <alignment horizontal="left" vertical="center"/>
    </xf>
    <xf borderId="4" fillId="0" fontId="8" numFmtId="0" xfId="0" applyAlignment="1" applyBorder="1" applyFont="1">
      <alignment horizontal="center"/>
    </xf>
    <xf borderId="4" fillId="0" fontId="8" numFmtId="0" xfId="0" applyAlignment="1" applyBorder="1" applyFont="1">
      <alignment readingOrder="0" shrinkToFit="0" vertical="center" wrapText="1"/>
    </xf>
    <xf borderId="4" fillId="0" fontId="12" numFmtId="166" xfId="0" applyAlignment="1" applyBorder="1" applyFont="1" applyNumberFormat="1">
      <alignment horizontal="right"/>
    </xf>
    <xf borderId="4" fillId="4" fontId="9" numFmtId="3" xfId="0" applyAlignment="1" applyBorder="1" applyFont="1" applyNumberFormat="1">
      <alignment horizontal="center" readingOrder="0"/>
    </xf>
    <xf borderId="4" fillId="0" fontId="8" numFmtId="164" xfId="0" applyAlignment="1" applyBorder="1" applyFont="1" applyNumberFormat="1">
      <alignment horizontal="right"/>
    </xf>
    <xf borderId="4" fillId="0" fontId="8" numFmtId="0" xfId="0" applyAlignment="1" applyBorder="1" applyFont="1">
      <alignment horizontal="center" readingOrder="0"/>
    </xf>
    <xf borderId="4" fillId="0" fontId="8" numFmtId="0" xfId="0" applyAlignment="1" applyBorder="1" applyFont="1">
      <alignment shrinkToFit="0" vertical="center" wrapText="1"/>
    </xf>
    <xf borderId="4" fillId="4" fontId="9" numFmtId="3" xfId="0" applyAlignment="1" applyBorder="1" applyFont="1" applyNumberFormat="1">
      <alignment horizontal="center"/>
    </xf>
    <xf borderId="0" fillId="0" fontId="8" numFmtId="0" xfId="0" applyAlignment="1" applyFont="1">
      <alignment horizontal="center" readingOrder="0"/>
    </xf>
    <xf borderId="0" fillId="0" fontId="8" numFmtId="0" xfId="0" applyAlignment="1" applyFont="1">
      <alignment readingOrder="0" shrinkToFit="0" vertical="center" wrapText="1"/>
    </xf>
    <xf borderId="0" fillId="0" fontId="12" numFmtId="166" xfId="0" applyAlignment="1" applyFont="1" applyNumberFormat="1">
      <alignment horizontal="right"/>
    </xf>
    <xf borderId="4" fillId="0" fontId="10" numFmtId="164" xfId="0" applyBorder="1" applyFont="1" applyNumberFormat="1"/>
    <xf borderId="4" fillId="0" fontId="13" numFmtId="167" xfId="0" applyBorder="1" applyFont="1" applyNumberFormat="1"/>
    <xf borderId="4" fillId="0" fontId="8" numFmtId="165" xfId="0" applyBorder="1" applyFont="1" applyNumberFormat="1"/>
    <xf borderId="4" fillId="0" fontId="8" numFmtId="10" xfId="0" applyBorder="1" applyFont="1" applyNumberFormat="1"/>
    <xf borderId="0" fillId="0" fontId="14" numFmtId="0" xfId="0" applyFont="1"/>
    <xf borderId="4" fillId="0" fontId="10" numFmtId="0" xfId="0" applyAlignment="1" applyBorder="1" applyFont="1">
      <alignment horizontal="center"/>
    </xf>
    <xf borderId="1" fillId="2" fontId="1" numFmtId="0" xfId="0" applyAlignment="1" applyBorder="1" applyFont="1">
      <alignment horizontal="left" vertical="center"/>
    </xf>
    <xf borderId="0" fillId="0" fontId="7" numFmtId="0" xfId="0" applyAlignment="1" applyFont="1">
      <alignment shrinkToFit="0" vertical="center" wrapText="1"/>
    </xf>
    <xf borderId="1" fillId="5" fontId="14" numFmtId="0" xfId="0" applyAlignment="1" applyBorder="1" applyFont="1">
      <alignment horizontal="left" readingOrder="0" vertical="center"/>
    </xf>
    <xf borderId="4" fillId="0" fontId="8" numFmtId="164" xfId="0" applyAlignment="1" applyBorder="1" applyFont="1" applyNumberFormat="1">
      <alignment shrinkToFit="0" vertical="center" wrapText="1"/>
    </xf>
    <xf borderId="4" fillId="0" fontId="15" numFmtId="164" xfId="0" applyAlignment="1" applyBorder="1" applyFont="1" applyNumberFormat="1">
      <alignment shrinkToFit="0" vertical="center" wrapText="1"/>
    </xf>
    <xf borderId="4" fillId="0" fontId="16" numFmtId="0" xfId="0" applyAlignment="1" applyBorder="1" applyFont="1">
      <alignment shrinkToFit="0" vertical="center" wrapText="1"/>
    </xf>
    <xf borderId="4" fillId="0" fontId="17" numFmtId="0" xfId="0" applyAlignment="1" applyBorder="1" applyFont="1">
      <alignment shrinkToFit="0" vertical="center" wrapText="1"/>
    </xf>
    <xf borderId="4" fillId="0" fontId="8" numFmtId="164" xfId="0" applyAlignment="1" applyBorder="1" applyFont="1" applyNumberFormat="1">
      <alignment readingOrder="0" shrinkToFit="0" vertical="center" wrapText="1"/>
    </xf>
    <xf borderId="4" fillId="0" fontId="18" numFmtId="0" xfId="0" applyAlignment="1" applyBorder="1" applyFont="1">
      <alignment readingOrder="0" shrinkToFit="0" vertical="center" wrapText="1"/>
    </xf>
    <xf borderId="4" fillId="0" fontId="15" numFmtId="164" xfId="0" applyAlignment="1" applyBorder="1" applyFont="1" applyNumberFormat="1">
      <alignment readingOrder="0" shrinkToFit="0" vertical="center" wrapText="1"/>
    </xf>
    <xf borderId="4" fillId="8" fontId="19" numFmtId="0" xfId="0" applyBorder="1" applyFill="1" applyFont="1"/>
    <xf borderId="4" fillId="8" fontId="20" numFmtId="0" xfId="0" applyAlignment="1" applyBorder="1" applyFont="1">
      <alignment horizontal="right" vertical="center"/>
    </xf>
    <xf borderId="4" fillId="8" fontId="20" numFmtId="164" xfId="0" applyAlignment="1" applyBorder="1" applyFont="1" applyNumberFormat="1">
      <alignment horizontal="right" vertical="center"/>
    </xf>
    <xf borderId="4" fillId="0" fontId="21" numFmtId="0" xfId="0" applyAlignment="1" applyBorder="1" applyFont="1">
      <alignment readingOrder="0" shrinkToFit="0" vertical="center" wrapText="1"/>
    </xf>
    <xf borderId="4" fillId="0" fontId="22" numFmtId="0" xfId="0" applyAlignment="1" applyBorder="1" applyFont="1">
      <alignment shrinkToFit="0" vertical="center" wrapText="1"/>
    </xf>
    <xf borderId="4" fillId="4" fontId="8" numFmtId="0" xfId="0" applyAlignment="1" applyBorder="1" applyFont="1">
      <alignment horizontal="center" readingOrder="0"/>
    </xf>
    <xf borderId="4" fillId="4" fontId="8" numFmtId="0" xfId="0" applyAlignment="1" applyBorder="1" applyFont="1">
      <alignment readingOrder="0" shrinkToFit="0" vertical="center" wrapText="1"/>
    </xf>
    <xf borderId="4" fillId="4" fontId="8" numFmtId="164" xfId="0" applyAlignment="1" applyBorder="1" applyFont="1" applyNumberFormat="1">
      <alignment readingOrder="0" shrinkToFit="0" vertical="center" wrapText="1"/>
    </xf>
    <xf borderId="4" fillId="4" fontId="15" numFmtId="164" xfId="0" applyAlignment="1" applyBorder="1" applyFont="1" applyNumberFormat="1">
      <alignment shrinkToFit="0" vertical="center" wrapText="1"/>
    </xf>
    <xf borderId="4" fillId="4" fontId="23" numFmtId="0" xfId="0" applyAlignment="1" applyBorder="1" applyFont="1">
      <alignment readingOrder="0" shrinkToFit="0" vertical="center" wrapText="1"/>
    </xf>
    <xf borderId="4" fillId="4" fontId="17" numFmtId="0" xfId="0" applyAlignment="1" applyBorder="1" applyFont="1">
      <alignment readingOrder="0" shrinkToFit="0" vertical="center" wrapText="1"/>
    </xf>
    <xf borderId="0" fillId="0" fontId="24" numFmtId="0" xfId="0" applyAlignment="1" applyFont="1">
      <alignment readingOrder="0"/>
    </xf>
    <xf borderId="4" fillId="4" fontId="25" numFmtId="0" xfId="0" applyAlignment="1" applyBorder="1" applyFont="1">
      <alignment shrinkToFit="0" vertical="center" wrapText="1"/>
    </xf>
    <xf borderId="4" fillId="4" fontId="17" numFmtId="0" xfId="0" applyAlignment="1" applyBorder="1" applyFont="1">
      <alignment shrinkToFit="0" vertical="center" wrapText="1"/>
    </xf>
    <xf borderId="4" fillId="4" fontId="8" numFmtId="0" xfId="0" applyAlignment="1" applyBorder="1" applyFont="1">
      <alignment horizontal="center"/>
    </xf>
    <xf borderId="4" fillId="0" fontId="26" numFmtId="0" xfId="0" applyAlignment="1" applyBorder="1" applyFont="1">
      <alignment readingOrder="0" shrinkToFit="0" vertical="center" wrapText="1"/>
    </xf>
    <xf borderId="4" fillId="0" fontId="27" numFmtId="0" xfId="0" applyAlignment="1" applyBorder="1" applyFont="1">
      <alignment readingOrder="0" shrinkToFit="0" vertical="center" wrapText="1"/>
    </xf>
    <xf borderId="0" fillId="0" fontId="24" numFmtId="168" xfId="0" applyAlignment="1" applyFont="1" applyNumberFormat="1">
      <alignment readingOrder="0"/>
    </xf>
    <xf borderId="4" fillId="0" fontId="28" numFmtId="0" xfId="0" applyAlignment="1" applyBorder="1" applyFont="1">
      <alignment readingOrder="0" shrinkToFit="0" vertical="center" wrapText="1"/>
    </xf>
    <xf borderId="0" fillId="0" fontId="8" numFmtId="0" xfId="0" applyAlignment="1" applyFont="1">
      <alignment shrinkToFit="0" vertical="center" wrapText="1"/>
    </xf>
    <xf borderId="4" fillId="4" fontId="29" numFmtId="0" xfId="0" applyAlignment="1" applyBorder="1" applyFont="1">
      <alignment readingOrder="0" shrinkToFit="0" vertical="center" wrapText="1"/>
    </xf>
    <xf borderId="4" fillId="0" fontId="8" numFmtId="169" xfId="0" applyAlignment="1" applyBorder="1" applyFont="1" applyNumberFormat="1">
      <alignment readingOrder="0" shrinkToFit="0" vertical="center" wrapText="1"/>
    </xf>
    <xf borderId="4" fillId="0" fontId="8" numFmtId="169" xfId="0" applyAlignment="1" applyBorder="1" applyFont="1" applyNumberFormat="1">
      <alignment shrinkToFit="0" vertical="center" wrapText="1"/>
    </xf>
    <xf borderId="4" fillId="0" fontId="19" numFmtId="0" xfId="0" applyAlignment="1" applyBorder="1" applyFont="1">
      <alignment readingOrder="0"/>
    </xf>
    <xf borderId="0" fillId="0" fontId="24" numFmtId="0" xfId="0" applyAlignment="1" applyFont="1">
      <alignment readingOrder="0" shrinkToFit="0" wrapText="1"/>
    </xf>
    <xf borderId="4" fillId="0" fontId="8" numFmtId="164" xfId="0" applyAlignment="1" applyBorder="1" applyFont="1" applyNumberFormat="1">
      <alignment horizontal="right" readingOrder="0" shrinkToFit="0" vertical="center" wrapText="1"/>
    </xf>
    <xf borderId="4" fillId="0" fontId="30" numFmtId="164" xfId="0" applyAlignment="1" applyBorder="1" applyFont="1" applyNumberFormat="1">
      <alignment readingOrder="0" shrinkToFit="0" vertical="center" wrapText="1"/>
    </xf>
    <xf borderId="0" fillId="0" fontId="31" numFmtId="0" xfId="0" applyAlignment="1" applyFont="1">
      <alignment readingOrder="0" shrinkToFit="0" vertical="center" wrapText="1"/>
    </xf>
    <xf borderId="4" fillId="0" fontId="8" numFmtId="0" xfId="0" applyAlignment="1" applyBorder="1" applyFont="1">
      <alignment horizontal="center" readingOrder="0" shrinkToFit="0" wrapText="1"/>
    </xf>
    <xf borderId="4" fillId="0" fontId="8" numFmtId="164" xfId="0" applyAlignment="1" applyBorder="1" applyFont="1" applyNumberFormat="1">
      <alignment horizontal="center" readingOrder="0" shrinkToFit="0" vertical="center" wrapText="1"/>
    </xf>
    <xf borderId="0" fillId="0" fontId="32" numFmtId="0" xfId="0" applyAlignment="1" applyFont="1">
      <alignment readingOrder="0" shrinkToFit="0" vertical="center" wrapText="1"/>
    </xf>
    <xf borderId="0" fillId="0" fontId="24" numFmtId="0" xfId="0" applyAlignment="1" applyFont="1">
      <alignment readingOrder="0" shrinkToFit="0" vertical="center" wrapText="1"/>
    </xf>
    <xf borderId="0" fillId="0" fontId="33" numFmtId="0" xfId="0" applyAlignment="1" applyFont="1">
      <alignment readingOrder="0" shrinkToFit="0" wrapText="1"/>
    </xf>
    <xf borderId="4" fillId="0" fontId="8" numFmtId="164" xfId="0" applyAlignment="1" applyBorder="1" applyFont="1" applyNumberFormat="1">
      <alignment horizontal="right" shrinkToFit="0" vertical="center" wrapText="1"/>
    </xf>
    <xf borderId="0" fillId="0" fontId="24" numFmtId="0" xfId="0" applyAlignment="1" applyFont="1">
      <alignment readingOrder="0" shrinkToFit="0" wrapText="1"/>
    </xf>
    <xf borderId="4" fillId="0" fontId="8" numFmtId="164" xfId="0" applyAlignment="1" applyBorder="1" applyFont="1" applyNumberFormat="1">
      <alignment readingOrder="0" shrinkToFit="0" vertical="center" wrapText="1"/>
    </xf>
    <xf borderId="4" fillId="0" fontId="34" numFmtId="0" xfId="0" applyAlignment="1" applyBorder="1" applyFont="1">
      <alignment readingOrder="0" shrinkToFit="0" vertical="center" wrapText="1"/>
    </xf>
    <xf borderId="4" fillId="0" fontId="17" numFmtId="0" xfId="0" applyAlignment="1" applyBorder="1" applyFont="1">
      <alignment readingOrder="0" shrinkToFit="0" vertical="center" wrapText="1"/>
    </xf>
    <xf borderId="4" fillId="0" fontId="35" numFmtId="0" xfId="0" applyAlignment="1" applyBorder="1" applyFont="1">
      <alignment readingOrder="0" shrinkToFit="0" vertical="center" wrapText="1"/>
    </xf>
    <xf borderId="0" fillId="0" fontId="8" numFmtId="0" xfId="0" applyAlignment="1" applyFont="1">
      <alignment shrinkToFit="0" vertical="top" wrapText="1"/>
    </xf>
    <xf borderId="0" fillId="0" fontId="36" numFmtId="0" xfId="0" applyFont="1"/>
    <xf borderId="5" fillId="9" fontId="1" numFmtId="0" xfId="0" applyAlignment="1" applyBorder="1" applyFill="1" applyFont="1">
      <alignment horizontal="center" vertical="center"/>
    </xf>
    <xf borderId="6" fillId="0" fontId="2" numFmtId="0" xfId="0" applyBorder="1" applyFont="1"/>
    <xf borderId="7" fillId="0" fontId="2" numFmtId="0" xfId="0" applyBorder="1" applyFont="1"/>
    <xf borderId="0" fillId="0" fontId="19" numFmtId="0" xfId="0" applyFont="1"/>
    <xf borderId="0" fillId="0" fontId="37" numFmtId="0" xfId="0" applyFont="1"/>
    <xf borderId="8" fillId="10" fontId="6" numFmtId="0" xfId="0" applyAlignment="1" applyBorder="1" applyFill="1" applyFont="1">
      <alignment horizontal="center" shrinkToFit="0" vertical="center" wrapText="1"/>
    </xf>
    <xf borderId="8" fillId="0" fontId="38" numFmtId="0" xfId="0" applyAlignment="1" applyBorder="1" applyFont="1">
      <alignment shrinkToFit="0" vertical="top" wrapText="1"/>
    </xf>
    <xf borderId="8" fillId="0" fontId="39" numFmtId="0" xfId="0" applyAlignment="1" applyBorder="1" applyFont="1">
      <alignment shrinkToFit="0" vertical="top" wrapText="1"/>
    </xf>
    <xf borderId="8" fillId="11" fontId="38" numFmtId="0" xfId="0" applyAlignment="1" applyBorder="1" applyFill="1" applyFont="1">
      <alignment shrinkToFit="0" vertical="top" wrapText="1"/>
    </xf>
    <xf borderId="8" fillId="11" fontId="39" numFmtId="0" xfId="0" applyAlignment="1" applyBorder="1" applyFont="1">
      <alignment shrinkToFit="0" vertical="top" wrapText="1"/>
    </xf>
    <xf borderId="0" fillId="0" fontId="37"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bridgedesignv3.streamlit.app/Bridge_Price_Estimation" TargetMode="External"/><Relationship Id="rId3" Type="http://schemas.openxmlformats.org/officeDocument/2006/relationships/hyperlink" Target="https://www.mdpi.com/2071-1050/18/6/2842"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baileybridgesolution.com/how-much-does-it-cost-to-build-a-pedestrian-bridge.html" TargetMode="External"/><Relationship Id="rId42" Type="http://schemas.openxmlformats.org/officeDocument/2006/relationships/hyperlink" Target="https://www.baileybridgesolution.com/how-much-does-it-cost-to-build-a-pedestrian-bridge.html" TargetMode="External"/><Relationship Id="rId41" Type="http://schemas.openxmlformats.org/officeDocument/2006/relationships/hyperlink" Target="https://www.baileybridgesolution.com/how-much-does-it-cost-to-build-a-pedestrian-bridge.html" TargetMode="External"/><Relationship Id="rId44" Type="http://schemas.openxmlformats.org/officeDocument/2006/relationships/hyperlink" Target="https://www.dockgearsupply.com/blogs/blog/dock-building-costs-in-2025-full-price-breakdown-guide" TargetMode="External"/><Relationship Id="rId43" Type="http://schemas.openxmlformats.org/officeDocument/2006/relationships/hyperlink" Target="https://www.baileybridgesolution.com/how-much-does-it-cost-to-build-a-pedestrian-bridge.html" TargetMode="External"/><Relationship Id="rId46" Type="http://schemas.openxmlformats.org/officeDocument/2006/relationships/hyperlink" Target="https://www.dockgearsupply.com/blogs/blog/dock-building-costs-in-2025-full-price-breakdown-guide" TargetMode="External"/><Relationship Id="rId45" Type="http://schemas.openxmlformats.org/officeDocument/2006/relationships/hyperlink" Target="https://www.dockgearsupply.com/blogs/blog/dock-building-costs-in-2025-full-price-breakdown-guide" TargetMode="External"/><Relationship Id="rId1" Type="http://schemas.openxmlformats.org/officeDocument/2006/relationships/comments" Target="../comments2.xml"/><Relationship Id="rId2" Type="http://schemas.openxmlformats.org/officeDocument/2006/relationships/hyperlink" Target="https://www.afdb.org/fileadmin/uploads/afdb/Documents/Publications/Study_on_Road_Infrastructure_Costs-_Analysis_of_Unit_Costs_and_Cost_Overruns_of_Road_Infrastructure_Projects_in_Africa.pdf" TargetMode="External"/><Relationship Id="rId3" Type="http://schemas.openxmlformats.org/officeDocument/2006/relationships/hyperlink" Target="https://www.afdb.org/fileadmin/uploads/afdb/Documents/Publications/Study_on_Road_Infrastructure_Costs-_Analysis_of_Unit_Costs_and_Cost_Overruns_of_Road_Infrastructure_Projects_in_Africa.pdf" TargetMode="External"/><Relationship Id="rId4" Type="http://schemas.openxmlformats.org/officeDocument/2006/relationships/hyperlink" Target="https://documents1.worldbank.org/curated/en/227731468184131693/pdf/multi0page.pdf" TargetMode="External"/><Relationship Id="rId9" Type="http://schemas.openxmlformats.org/officeDocument/2006/relationships/hyperlink" Target="https://blogs.worldbank.org/en/nasikiliza/road-to-prosperity-how-feeder-roads-are-creating-jobs-and-transforming-lives-in-rural-rwanda-afe-0425" TargetMode="External"/><Relationship Id="rId48" Type="http://schemas.openxmlformats.org/officeDocument/2006/relationships/hyperlink" Target="https://www.dockgearsupply.com/blogs/blog/dock-building-costs-in-2025-full-price-breakdown-guide" TargetMode="External"/><Relationship Id="rId47" Type="http://schemas.openxmlformats.org/officeDocument/2006/relationships/hyperlink" Target="https://www.dockgearsupply.com/blogs/blog/dock-building-costs-in-2025-full-price-breakdown-guide" TargetMode="External"/><Relationship Id="rId49" Type="http://schemas.openxmlformats.org/officeDocument/2006/relationships/hyperlink" Target="https://theannapurnaexpress.com/story/56300/" TargetMode="External"/><Relationship Id="rId5" Type="http://schemas.openxmlformats.org/officeDocument/2006/relationships/hyperlink" Target="https://documents1.worldbank.org/curated/en/227731468184131693/pdf/multi0page.pdf" TargetMode="External"/><Relationship Id="rId6" Type="http://schemas.openxmlformats.org/officeDocument/2006/relationships/hyperlink" Target="https://www.ilo.org/sites/default/files/wcmsp5/groups/public/@ed_emp/@emp_policy/@invest/documents/instructionalmaterial/wcms_asist_8494.pdf" TargetMode="External"/><Relationship Id="rId7" Type="http://schemas.openxmlformats.org/officeDocument/2006/relationships/hyperlink" Target="https://assets.publishing.service.gov.uk/media/57a08bd7e5274a27b2000dc3/TI_UP_HD_Feb2007_Cost_of_Roads_in_Africa.pdf" TargetMode="External"/><Relationship Id="rId8" Type="http://schemas.openxmlformats.org/officeDocument/2006/relationships/hyperlink" Target="https://assets.publishing.service.gov.uk/media/57a08bd7e5274a27b2000dc3/TI_UP_HD_Feb2007_Cost_of_Roads_in_Africa.pdf" TargetMode="External"/><Relationship Id="rId73" Type="http://schemas.openxmlformats.org/officeDocument/2006/relationships/hyperlink" Target="https://www.homewyse.com/services/cost_to_install_erosion_control_mesh.html" TargetMode="External"/><Relationship Id="rId72" Type="http://schemas.openxmlformats.org/officeDocument/2006/relationships/hyperlink" Target="https://www.wellcoindustries.com/jute-netting-cost-vs-alternatives-whats-the-best-value-for-your-project/" TargetMode="External"/><Relationship Id="rId31" Type="http://schemas.openxmlformats.org/officeDocument/2006/relationships/hyperlink" Target="https://www.americantrails.org/resources/construction-and-maintenance-costs-for-trails" TargetMode="External"/><Relationship Id="rId75" Type="http://schemas.openxmlformats.org/officeDocument/2006/relationships/hyperlink" Target="https://www.geosyntheticscn.com/what-does-geocell-cost-per-square-foot/" TargetMode="External"/><Relationship Id="rId30" Type="http://schemas.openxmlformats.org/officeDocument/2006/relationships/hyperlink" Target="https://www.americantrails.org/resources/construction-and-maintenance-costs-for-trails" TargetMode="External"/><Relationship Id="rId74" Type="http://schemas.openxmlformats.org/officeDocument/2006/relationships/hyperlink" Target="https://www.bpmgeosynthetics.com/how-much-does-geocell-cost-per-square-foot/" TargetMode="External"/><Relationship Id="rId33" Type="http://schemas.openxmlformats.org/officeDocument/2006/relationships/hyperlink" Target="https://www.americantrails.org/resources/construction-and-maintenance-costs-for-trails" TargetMode="External"/><Relationship Id="rId77" Type="http://schemas.openxmlformats.org/officeDocument/2006/relationships/vmlDrawing" Target="../drawings/vmlDrawing2.vml"/><Relationship Id="rId32" Type="http://schemas.openxmlformats.org/officeDocument/2006/relationships/hyperlink" Target="https://www.americantrails.org/resources/construction-and-maintenance-costs-for-trails" TargetMode="External"/><Relationship Id="rId76" Type="http://schemas.openxmlformats.org/officeDocument/2006/relationships/drawing" Target="../drawings/drawing2.xml"/><Relationship Id="rId35" Type="http://schemas.openxmlformats.org/officeDocument/2006/relationships/hyperlink" Target="https://www.emerald.com/jtran/article/169/6/378/407154/Rural-connectivity-in-Africa-motorcycle-track" TargetMode="External"/><Relationship Id="rId34" Type="http://schemas.openxmlformats.org/officeDocument/2006/relationships/hyperlink" Target="https://fika-org.box.com/s/upnsgk1tfkw27y4u5hlg6jui9ds63gse" TargetMode="External"/><Relationship Id="rId71" Type="http://schemas.openxmlformats.org/officeDocument/2006/relationships/hyperlink" Target="https://fika-org.app.box.com/file/2033911441922?s=pl7ykq3pg424vgcmdc0tgshdxh1kw7m2" TargetMode="External"/><Relationship Id="rId70" Type="http://schemas.openxmlformats.org/officeDocument/2006/relationships/hyperlink" Target="https://lib.icimod.org/records/9rrrr-ekr04/files/c_attachment_96_784.pdf?download=1" TargetMode="External"/><Relationship Id="rId37" Type="http://schemas.openxmlformats.org/officeDocument/2006/relationships/hyperlink" Target="https://www.ssatp.org/publication/labour-based-methods-and-technologies-employment-intensive-construction-works" TargetMode="External"/><Relationship Id="rId36" Type="http://schemas.openxmlformats.org/officeDocument/2006/relationships/hyperlink" Target="https://www.ilo.org/wcmsp5/groups/public/---ed_emp/---emp_policy/---invest/documents/publication/wcms_asist_8148.pdf" TargetMode="External"/><Relationship Id="rId39" Type="http://schemas.openxmlformats.org/officeDocument/2006/relationships/hyperlink" Target="https://www.baileybridgesolution.com/how-much-does-it-cost-to-build-a-pedestrian-bridge.html" TargetMode="External"/><Relationship Id="rId38" Type="http://schemas.openxmlformats.org/officeDocument/2006/relationships/hyperlink" Target="https://assets.publishing.service.gov.uk/media/57a08bd7e5274a27b2000dc3/TI_UP_HD_Feb2007_Cost_of_Roads_in_Africa.pdf" TargetMode="External"/><Relationship Id="rId62" Type="http://schemas.openxmlformats.org/officeDocument/2006/relationships/hyperlink" Target="https://doi.org/10.1371/journal.pone.0175358" TargetMode="External"/><Relationship Id="rId61" Type="http://schemas.openxmlformats.org/officeDocument/2006/relationships/hyperlink" Target="https://journals.plos.org/plosone/article?id=10.1371/journal.pone.0175358" TargetMode="External"/><Relationship Id="rId20" Type="http://schemas.openxmlformats.org/officeDocument/2006/relationships/hyperlink" Target="https://www.fairfaxcounty.gov/landdevelopment/sites/landdevelopment/files/assets/documents/pdf/publications/unit-price-schedule.pdf" TargetMode="External"/><Relationship Id="rId64" Type="http://schemas.openxmlformats.org/officeDocument/2006/relationships/hyperlink" Target="https://www.itu.int/dms_pub/itu-s/opb/gen/s-gen-invest.con-2025-pdf-e.pdf" TargetMode="External"/><Relationship Id="rId63" Type="http://schemas.openxmlformats.org/officeDocument/2006/relationships/hyperlink" Target="https://www.itu.int/dms_pub/itu-s/opb/gen/s-gen-invest.con-2025-pdf-e.pdf" TargetMode="External"/><Relationship Id="rId22" Type="http://schemas.openxmlformats.org/officeDocument/2006/relationships/hyperlink" Target="https://www.iekenya.org/sites/default/files/iek-documents/2025-02/COST%20ESTIMATION%20MANUAL_MAIN%20EDITION%202022-2023.pdf" TargetMode="External"/><Relationship Id="rId66" Type="http://schemas.openxmlformats.org/officeDocument/2006/relationships/hyperlink" Target="https://wia.org/fixed-wireless-home-broadband-service-a-critical-solution-for-closing-connectivity-gaps-in-rural-america/" TargetMode="External"/><Relationship Id="rId21" Type="http://schemas.openxmlformats.org/officeDocument/2006/relationships/hyperlink" Target="https://www.fairfaxcounty.gov/landdevelopment/sites/landdevelopment/files/assets/documents/pdf/publications/unit-price-schedule.pdf" TargetMode="External"/><Relationship Id="rId65" Type="http://schemas.openxmlformats.org/officeDocument/2006/relationships/hyperlink" Target="https://www.connectingafrica.com/digital-inclusion/solar-powered-wi-fi-hotspots-connect-sa-rural-residents" TargetMode="External"/><Relationship Id="rId24" Type="http://schemas.openxmlformats.org/officeDocument/2006/relationships/hyperlink" Target="https://dirtandgravel.psu.edu/wp-content/uploads/2022/03/Typical_DGLVRP_costs_4_2015.pdf" TargetMode="External"/><Relationship Id="rId68" Type="http://schemas.openxmlformats.org/officeDocument/2006/relationships/hyperlink" Target="https://energypedia.info/wiki/Solar_Kiosk" TargetMode="External"/><Relationship Id="rId23" Type="http://schemas.openxmlformats.org/officeDocument/2006/relationships/hyperlink" Target="https://www.iekenya.org/sites/default/files/iek-documents/2025-02/COST%20ESTIMATION%20MANUAL_MAIN%20EDITION%202022-2023.pdf" TargetMode="External"/><Relationship Id="rId67" Type="http://schemas.openxmlformats.org/officeDocument/2006/relationships/hyperlink" Target="https://www.cnn.com/2016/08/09/africa/ared-solar-charging-kiosk-henri-nyakarundi" TargetMode="External"/><Relationship Id="rId60" Type="http://schemas.openxmlformats.org/officeDocument/2006/relationships/hyperlink" Target="https://www.fairfaxcounty.gov/landdevelopment/sites/landdevelopment/files/assets/documents/pdf/publications/unit-price-schedule.pdf" TargetMode="External"/><Relationship Id="rId26" Type="http://schemas.openxmlformats.org/officeDocument/2006/relationships/hyperlink" Target="https://www.google.com/search?q=Illinois+case+reported+in+USFS+low-water+crossings+manual%3A+concrete+low-water+bridge+crossings+constructed+for+approximately+%2440%2C000%E2%80%93%2450%2C000+per+site.&amp;oq=Illinois+case+reported+in+USFS+low-water+crossings+manual%3A+concrete+low-water+bridge+crossings+constructed+for+approximately+%2440%2C000%E2%80%93%2450%2C000+per+site.&amp;gs_lcrp=EgZjaHJvbWUyBggAEEUYOTIHCAEQIRiPAjIHCAIQIRiPAtIBBzE3M2owajeoAgCwAgA&amp;sourceid=chrome&amp;ie=UTF-8" TargetMode="External"/><Relationship Id="rId25" Type="http://schemas.openxmlformats.org/officeDocument/2006/relationships/hyperlink" Target="https://www.fs.usda.gov/t-d/pubs/pdf/LowWaterCrossings/LoWholeDoc.pdf" TargetMode="External"/><Relationship Id="rId69" Type="http://schemas.openxmlformats.org/officeDocument/2006/relationships/hyperlink" Target="https://www.vetiver.org/" TargetMode="External"/><Relationship Id="rId28" Type="http://schemas.openxmlformats.org/officeDocument/2006/relationships/hyperlink" Target="https://acrow.com/products/modular-steel-bridges/" TargetMode="External"/><Relationship Id="rId27" Type="http://schemas.openxmlformats.org/officeDocument/2006/relationships/hyperlink" Target="https://www.evercrossbridge.com/news/how-much-do-bailey-bridges-cost.html" TargetMode="External"/><Relationship Id="rId29" Type="http://schemas.openxmlformats.org/officeDocument/2006/relationships/hyperlink" Target="https://www.globalconstructionreview.com/stone-age-bridge-revolution-gets-tanzania-moving/" TargetMode="External"/><Relationship Id="rId51" Type="http://schemas.openxmlformats.org/officeDocument/2006/relationships/hyperlink" Target="https://dirtandgravel.psu.edu/wp-content/uploads/2022/03/Typical_DGLVRP_costs_4_2015.pdf" TargetMode="External"/><Relationship Id="rId50" Type="http://schemas.openxmlformats.org/officeDocument/2006/relationships/hyperlink" Target="https://www.gondolaproject.com/2014/07/08/portable-agricultural-cableways/" TargetMode="External"/><Relationship Id="rId53" Type="http://schemas.openxmlformats.org/officeDocument/2006/relationships/hyperlink" Target="https://www.iekenya.org/sites/default/files/iek-documents/2025-02/COST%20ESTIMATION%20MANUAL_MAIN%20EDITION%202022-2023.pdf" TargetMode="External"/><Relationship Id="rId52" Type="http://schemas.openxmlformats.org/officeDocument/2006/relationships/hyperlink" Target="https://dirtandgravel.psu.edu/wp-content/uploads/2022/03/Typical_DGLVRP_costs_4_2015.pdf" TargetMode="External"/><Relationship Id="rId11" Type="http://schemas.openxmlformats.org/officeDocument/2006/relationships/hyperlink" Target="https://www.afdb.org/fileadmin/uploads/afdb/Documents/Publications/Study_on_Road_Infrastructure_Costs-_Analysis_of_Unit_Costs_and_Cost_Overruns_of_Road_Infrastructure_Projects_in_Africa.pdf" TargetMode="External"/><Relationship Id="rId55" Type="http://schemas.openxmlformats.org/officeDocument/2006/relationships/hyperlink" Target="https://www.fairfaxcounty.gov/landdevelopment/sites/landdevelopment/files/assets/documents/pdf/publications/unit-price-schedule.pdf" TargetMode="External"/><Relationship Id="rId10" Type="http://schemas.openxmlformats.org/officeDocument/2006/relationships/hyperlink" Target="https://www.afdb.org/fileadmin/uploads/afdb/Documents/Publications/Study_on_Road_Infrastructure_Costs-_Analysis_of_Unit_Costs_and_Cost_Overruns_of_Road_Infrastructure_Projects_in_Africa.pdf" TargetMode="External"/><Relationship Id="rId54" Type="http://schemas.openxmlformats.org/officeDocument/2006/relationships/hyperlink" Target="https://www.iekenya.org/sites/default/files/iek-documents/2025-02/COST%20ESTIMATION%20MANUAL_MAIN%20EDITION%202022-2023.pdf" TargetMode="External"/><Relationship Id="rId13" Type="http://schemas.openxmlformats.org/officeDocument/2006/relationships/hyperlink" Target="https://documents1.worldbank.org/curated/en/227731468184131693/pdf/multi0page.pdf" TargetMode="External"/><Relationship Id="rId57" Type="http://schemas.openxmlformats.org/officeDocument/2006/relationships/hyperlink" Target="https://www.iekenya.org/sites/default/files/iek-documents/2025-02/COST%20ESTIMATION%20MANUAL_MAIN%20EDITION%202022-2023.pdf" TargetMode="External"/><Relationship Id="rId12" Type="http://schemas.openxmlformats.org/officeDocument/2006/relationships/hyperlink" Target="https://www.mcc.gov/resources/doc/evalbrief-092920-gha-improving-roads/" TargetMode="External"/><Relationship Id="rId56" Type="http://schemas.openxmlformats.org/officeDocument/2006/relationships/hyperlink" Target="https://www.iekenya.org/sites/default/files/iek-documents/2025-02/COST%20ESTIMATION%20MANUAL_MAIN%20EDITION%202022-2023.pdf" TargetMode="External"/><Relationship Id="rId15" Type="http://schemas.openxmlformats.org/officeDocument/2006/relationships/hyperlink" Target="https://documents1.worldbank.org/curated/en/227731468184131693/pdf/multi0page.pdf" TargetMode="External"/><Relationship Id="rId59" Type="http://schemas.openxmlformats.org/officeDocument/2006/relationships/hyperlink" Target="https://www.irena.org/publications/2016/Jun/Solar-pumping-for-irrigation-Improving-livelihoods-and-sustainability" TargetMode="External"/><Relationship Id="rId14" Type="http://schemas.openxmlformats.org/officeDocument/2006/relationships/hyperlink" Target="https://documents1.worldbank.org/curated/en/227731468184131693/pdf/multi0page.pdf" TargetMode="External"/><Relationship Id="rId58" Type="http://schemas.openxmlformats.org/officeDocument/2006/relationships/hyperlink" Target="https://phys.org/news/2019-04-insights-uganda-solar-street.html" TargetMode="External"/><Relationship Id="rId17" Type="http://schemas.openxmlformats.org/officeDocument/2006/relationships/hyperlink" Target="https://www.baileybridgesolution.com/how-much-does-it-cost-to-build-a-pedestrian-bridge.html" TargetMode="External"/><Relationship Id="rId16" Type="http://schemas.openxmlformats.org/officeDocument/2006/relationships/hyperlink" Target="https://fsi-live.s3.us-west-1.amazonaws.com/s3fs-public/wong-et-al-2013-providing_quality_infrastructure.pdf" TargetMode="External"/><Relationship Id="rId19" Type="http://schemas.openxmlformats.org/officeDocument/2006/relationships/hyperlink" Target="https://www.fhwa.dot.gov/bridge/nbi/sd2024.cfm" TargetMode="External"/><Relationship Id="rId18" Type="http://schemas.openxmlformats.org/officeDocument/2006/relationships/hyperlink" Target="https://documents1.worldbank.org/curated/en/227731468184131693/pdf/multi0page.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workbookViewId="0"/>
  </sheetViews>
  <sheetFormatPr customHeight="1" defaultColWidth="14.43" defaultRowHeight="15.0"/>
  <cols>
    <col customWidth="1" min="1" max="1" width="4.0"/>
    <col customWidth="1" min="2" max="2" width="42.0"/>
    <col customWidth="1" min="3" max="3" width="13.0"/>
    <col customWidth="1" min="4" max="4" width="33.57"/>
    <col customWidth="1" min="5" max="6" width="14.0"/>
    <col customWidth="1" min="7" max="7" width="11.0"/>
    <col customWidth="1" min="8" max="8" width="15.0"/>
    <col customWidth="1" min="9" max="9" width="24.0"/>
    <col customWidth="1" min="10" max="10" width="24.14"/>
    <col customWidth="1" min="11" max="25" width="8.71"/>
  </cols>
  <sheetData>
    <row r="1" ht="27.75" customHeight="1">
      <c r="A1" s="1" t="s">
        <v>0</v>
      </c>
      <c r="B1" s="2"/>
      <c r="C1" s="2"/>
      <c r="D1" s="2"/>
      <c r="E1" s="2"/>
      <c r="F1" s="2"/>
      <c r="G1" s="2"/>
      <c r="H1" s="2"/>
      <c r="I1" s="3"/>
      <c r="J1" s="4" t="s">
        <v>1</v>
      </c>
    </row>
    <row r="2" ht="135.75" customHeight="1">
      <c r="A2" s="5" t="s">
        <v>2</v>
      </c>
    </row>
    <row r="4">
      <c r="A4" s="6" t="s">
        <v>3</v>
      </c>
    </row>
    <row r="7" ht="19.5" customHeight="1">
      <c r="B7" s="7" t="s">
        <v>4</v>
      </c>
      <c r="C7" s="2"/>
      <c r="D7" s="2"/>
      <c r="E7" s="2"/>
      <c r="F7" s="2"/>
      <c r="G7" s="2"/>
      <c r="H7" s="2"/>
      <c r="I7" s="3"/>
    </row>
    <row r="8">
      <c r="B8" s="8" t="s">
        <v>5</v>
      </c>
    </row>
    <row r="9">
      <c r="B9" s="9" t="s">
        <v>6</v>
      </c>
      <c r="C9" s="10"/>
    </row>
    <row r="10">
      <c r="B10" s="9" t="s">
        <v>7</v>
      </c>
      <c r="C10" s="10"/>
    </row>
    <row r="12">
      <c r="B12" s="11" t="s">
        <v>8</v>
      </c>
      <c r="C12" s="12">
        <v>0.0</v>
      </c>
    </row>
    <row r="13">
      <c r="B13" s="9" t="s">
        <v>9</v>
      </c>
      <c r="C13" s="13">
        <v>0.0</v>
      </c>
    </row>
    <row r="14">
      <c r="B14" s="9" t="s">
        <v>10</v>
      </c>
      <c r="C14" s="14">
        <f>C12*C13</f>
        <v>0</v>
      </c>
    </row>
    <row r="16">
      <c r="B16" s="9" t="s">
        <v>11</v>
      </c>
      <c r="C16" s="13">
        <v>0.0</v>
      </c>
      <c r="D16" s="15" t="s">
        <v>12</v>
      </c>
    </row>
    <row r="17">
      <c r="B17" s="9" t="s">
        <v>13</v>
      </c>
      <c r="C17" s="14">
        <f>C14*C16</f>
        <v>0</v>
      </c>
    </row>
    <row r="18">
      <c r="B18" s="9" t="s">
        <v>14</v>
      </c>
      <c r="C18" s="16">
        <f>C14-C17</f>
        <v>0</v>
      </c>
    </row>
    <row r="21" ht="19.5" customHeight="1">
      <c r="B21" s="17" t="s">
        <v>15</v>
      </c>
      <c r="C21" s="2"/>
      <c r="D21" s="2"/>
      <c r="E21" s="2"/>
      <c r="F21" s="2"/>
      <c r="G21" s="2"/>
      <c r="H21" s="2"/>
      <c r="I21" s="3"/>
    </row>
    <row r="22">
      <c r="B22" s="8" t="s">
        <v>16</v>
      </c>
    </row>
    <row r="23" ht="30.0" customHeight="1">
      <c r="A23" s="18" t="s">
        <v>17</v>
      </c>
      <c r="B23" s="18" t="s">
        <v>18</v>
      </c>
      <c r="C23" s="18" t="s">
        <v>19</v>
      </c>
      <c r="D23" s="18" t="s">
        <v>20</v>
      </c>
      <c r="E23" s="18" t="s">
        <v>21</v>
      </c>
      <c r="F23" s="18" t="s">
        <v>22</v>
      </c>
      <c r="G23" s="18" t="s">
        <v>23</v>
      </c>
      <c r="H23" s="19" t="s">
        <v>24</v>
      </c>
      <c r="I23" s="19" t="s">
        <v>25</v>
      </c>
    </row>
    <row r="24" ht="18.0" customHeight="1">
      <c r="B24" s="20" t="s">
        <v>26</v>
      </c>
      <c r="C24" s="2"/>
      <c r="D24" s="2"/>
      <c r="E24" s="2"/>
      <c r="F24" s="2"/>
      <c r="G24" s="2"/>
      <c r="H24" s="2"/>
      <c r="I24" s="3"/>
    </row>
    <row r="25" ht="21.75" customHeight="1">
      <c r="A25" s="21">
        <v>1.0</v>
      </c>
      <c r="B25" s="22" t="s">
        <v>27</v>
      </c>
      <c r="C25" s="21" t="s">
        <v>28</v>
      </c>
      <c r="D25" s="23">
        <f>IF('Source Data - In Progress'!C15="","",'Source Data - In Progress'!C15)</f>
        <v>16213</v>
      </c>
      <c r="E25" s="23">
        <f>IF('Source Data - In Progress'!D15="","",'Source Data - In Progress'!D15)</f>
        <v>25099</v>
      </c>
      <c r="F25" s="23">
        <f>IF('Source Data - In Progress'!E15="","",'Source Data - In Progress'!E15)</f>
        <v>20656</v>
      </c>
      <c r="G25" s="24">
        <v>0.0</v>
      </c>
      <c r="H25" s="25">
        <f t="shared" ref="H25:H31" si="1">IFERROR(F25*G25,"")</f>
        <v>0</v>
      </c>
      <c r="I25" s="21" t="str">
        <f t="shared" ref="I25:I31" si="2">IFERROR(IF(G25=0,"-",TEXT(D25*G25,"$#,##0")&amp;" - "&amp;TEXT(E25*G25,"$#,##0")),"")</f>
        <v>-</v>
      </c>
    </row>
    <row r="26" ht="42.75" customHeight="1">
      <c r="A26" s="21">
        <v>2.0</v>
      </c>
      <c r="B26" s="22" t="s">
        <v>29</v>
      </c>
      <c r="C26" s="21" t="s">
        <v>28</v>
      </c>
      <c r="D26" s="23">
        <f>IF('Source Data - In Progress'!C27="","",'Source Data - In Progress'!C27)</f>
        <v>88073</v>
      </c>
      <c r="E26" s="23">
        <f>IF('Source Data - In Progress'!D27="","",'Source Data - In Progress'!D27)</f>
        <v>156410</v>
      </c>
      <c r="F26" s="23">
        <f>IF('Source Data - In Progress'!E27="","",'Source Data - In Progress'!E27)</f>
        <v>122241</v>
      </c>
      <c r="G26" s="24">
        <v>0.0</v>
      </c>
      <c r="H26" s="25">
        <f t="shared" si="1"/>
        <v>0</v>
      </c>
      <c r="I26" s="21" t="str">
        <f t="shared" si="2"/>
        <v>-</v>
      </c>
    </row>
    <row r="27" ht="21.75" customHeight="1">
      <c r="A27" s="26">
        <v>3.0</v>
      </c>
      <c r="B27" s="27" t="s">
        <v>30</v>
      </c>
      <c r="C27" s="26" t="s">
        <v>31</v>
      </c>
      <c r="D27" s="23">
        <f>IF('Source Data - In Progress'!C34="","",'Source Data - In Progress'!C34)</f>
        <v>3048</v>
      </c>
      <c r="E27" s="23">
        <f>IF('Source Data - In Progress'!D34="","",'Source Data - In Progress'!D34)</f>
        <v>3981</v>
      </c>
      <c r="F27" s="23">
        <f>IF('Source Data - In Progress'!E34="","",'Source Data - In Progress'!E34)</f>
        <v>3515</v>
      </c>
      <c r="G27" s="24">
        <v>0.0</v>
      </c>
      <c r="H27" s="25">
        <f t="shared" si="1"/>
        <v>0</v>
      </c>
      <c r="I27" s="21" t="str">
        <f t="shared" si="2"/>
        <v>-</v>
      </c>
    </row>
    <row r="28" ht="21.75" customHeight="1">
      <c r="A28" s="26">
        <v>4.0</v>
      </c>
      <c r="B28" s="27" t="s">
        <v>32</v>
      </c>
      <c r="C28" s="26" t="s">
        <v>31</v>
      </c>
      <c r="D28" s="23">
        <f>IF('Source Data - In Progress'!C43="","",'Source Data - In Progress'!C43)</f>
        <v>368</v>
      </c>
      <c r="E28" s="23">
        <f>IF('Source Data - In Progress'!D43="","",'Source Data - In Progress'!D43)</f>
        <v>545</v>
      </c>
      <c r="F28" s="23">
        <f>IF('Source Data - In Progress'!E43="","",'Source Data - In Progress'!E43)</f>
        <v>457</v>
      </c>
      <c r="G28" s="28">
        <v>0.0</v>
      </c>
      <c r="H28" s="25">
        <f t="shared" si="1"/>
        <v>0</v>
      </c>
      <c r="I28" s="21" t="str">
        <f t="shared" si="2"/>
        <v>-</v>
      </c>
    </row>
    <row r="29" ht="21.75" customHeight="1">
      <c r="A29" s="26">
        <v>5.0</v>
      </c>
      <c r="B29" s="27" t="s">
        <v>33</v>
      </c>
      <c r="C29" s="21" t="s">
        <v>34</v>
      </c>
      <c r="D29" s="23">
        <f>IF('Source Data - In Progress'!C49="","",'Source Data - In Progress'!C49)</f>
        <v>20250</v>
      </c>
      <c r="E29" s="23">
        <f>IF('Source Data - In Progress'!D49="","",'Source Data - In Progress'!D49)</f>
        <v>26250</v>
      </c>
      <c r="F29" s="23">
        <f>IF('Source Data - In Progress'!E49="","",'Source Data - In Progress'!E49)</f>
        <v>23250</v>
      </c>
      <c r="G29" s="28">
        <v>0.0</v>
      </c>
      <c r="H29" s="25">
        <f t="shared" si="1"/>
        <v>0</v>
      </c>
      <c r="I29" s="21" t="str">
        <f t="shared" si="2"/>
        <v>-</v>
      </c>
    </row>
    <row r="30" ht="21.75" customHeight="1">
      <c r="A30" s="26">
        <v>6.0</v>
      </c>
      <c r="B30" s="27" t="s">
        <v>35</v>
      </c>
      <c r="C30" s="21" t="s">
        <v>36</v>
      </c>
      <c r="D30" s="23">
        <f>IF('Source Data - In Progress'!C55="","",'Source Data - In Progress'!C55)</f>
        <v>70000</v>
      </c>
      <c r="E30" s="23">
        <f>IF('Source Data - In Progress'!D55="","",'Source Data - In Progress'!D55)</f>
        <v>225000</v>
      </c>
      <c r="F30" s="23">
        <f>IF('Source Data - In Progress'!E55="","",'Source Data - In Progress'!E55)</f>
        <v>147500</v>
      </c>
      <c r="G30" s="28">
        <v>0.0</v>
      </c>
      <c r="H30" s="25">
        <f t="shared" si="1"/>
        <v>0</v>
      </c>
      <c r="I30" s="21" t="str">
        <f t="shared" si="2"/>
        <v>-</v>
      </c>
    </row>
    <row r="31" ht="21.75" customHeight="1">
      <c r="A31" s="29">
        <v>7.0</v>
      </c>
      <c r="B31" s="30" t="s">
        <v>37</v>
      </c>
      <c r="C31" s="29" t="s">
        <v>36</v>
      </c>
      <c r="D31" s="31">
        <f>'Source Data - In Progress'!C64</f>
        <v>46573</v>
      </c>
      <c r="E31" s="31">
        <f>'Source Data - In Progress'!D64</f>
        <v>46573</v>
      </c>
      <c r="F31" s="31">
        <f>'Source Data - In Progress'!E64</f>
        <v>46573</v>
      </c>
      <c r="G31" s="24">
        <v>0.0</v>
      </c>
      <c r="H31" s="25">
        <f t="shared" si="1"/>
        <v>0</v>
      </c>
      <c r="I31" s="21" t="str">
        <f t="shared" si="2"/>
        <v>-</v>
      </c>
    </row>
    <row r="32" ht="18.0" customHeight="1">
      <c r="B32" s="20" t="s">
        <v>38</v>
      </c>
      <c r="C32" s="2"/>
      <c r="D32" s="2"/>
      <c r="E32" s="2"/>
      <c r="F32" s="2"/>
      <c r="G32" s="2"/>
      <c r="H32" s="2"/>
      <c r="I32" s="3"/>
    </row>
    <row r="33" ht="21.75" customHeight="1">
      <c r="A33" s="26">
        <v>8.0</v>
      </c>
      <c r="B33" s="22" t="s">
        <v>39</v>
      </c>
      <c r="C33" s="21" t="s">
        <v>28</v>
      </c>
      <c r="D33" s="23">
        <f>IF('Source Data - In Progress'!C75="","",'Source Data - In Progress'!C75)</f>
        <v>89181</v>
      </c>
      <c r="E33" s="23">
        <f>IF('Source Data - In Progress'!D75="","",'Source Data - In Progress'!D75)</f>
        <v>89631</v>
      </c>
      <c r="F33" s="23">
        <f>IF('Source Data - In Progress'!E75="","",'Source Data - In Progress'!E75)</f>
        <v>89406</v>
      </c>
      <c r="G33" s="28">
        <v>0.0</v>
      </c>
      <c r="H33" s="25">
        <f t="shared" ref="H33:H40" si="3">IFERROR(F33*G33,"")</f>
        <v>0</v>
      </c>
      <c r="I33" s="21" t="str">
        <f t="shared" ref="I33:I40" si="4">IFERROR(IF(G33=0,"-",TEXT(D33*G33,"$#,##0")&amp;" - "&amp;TEXT(E33*G33,"$#,##0")),"")</f>
        <v>-</v>
      </c>
    </row>
    <row r="34" ht="21.75" customHeight="1">
      <c r="A34" s="26">
        <v>9.0</v>
      </c>
      <c r="B34" s="27" t="s">
        <v>40</v>
      </c>
      <c r="C34" s="21" t="s">
        <v>28</v>
      </c>
      <c r="D34" s="23">
        <f>IF('Source Data - In Progress'!C82="","",'Source Data - In Progress'!C82)</f>
        <v>6376</v>
      </c>
      <c r="E34" s="23">
        <f>IF('Source Data - In Progress'!D82="","",'Source Data - In Progress'!D82)</f>
        <v>7709</v>
      </c>
      <c r="F34" s="23">
        <f>IF('Source Data - In Progress'!E82="","",'Source Data - In Progress'!E82)</f>
        <v>7042</v>
      </c>
      <c r="G34" s="28">
        <v>0.0</v>
      </c>
      <c r="H34" s="25">
        <f t="shared" si="3"/>
        <v>0</v>
      </c>
      <c r="I34" s="21" t="str">
        <f t="shared" si="4"/>
        <v>-</v>
      </c>
    </row>
    <row r="35" ht="21.75" customHeight="1">
      <c r="A35" s="26">
        <v>10.0</v>
      </c>
      <c r="B35" s="22" t="s">
        <v>41</v>
      </c>
      <c r="C35" s="26" t="s">
        <v>31</v>
      </c>
      <c r="D35" s="23">
        <f>IF('Source Data - In Progress'!C89="","",'Source Data - In Progress'!C89)</f>
        <v>1113</v>
      </c>
      <c r="E35" s="23">
        <f>IF('Source Data - In Progress'!D89="","",'Source Data - In Progress'!D89)</f>
        <v>2219</v>
      </c>
      <c r="F35" s="23">
        <f>IF('Source Data - In Progress'!E89="","",'Source Data - In Progress'!E89)</f>
        <v>1666</v>
      </c>
      <c r="G35" s="28">
        <v>0.0</v>
      </c>
      <c r="H35" s="25">
        <f t="shared" si="3"/>
        <v>0</v>
      </c>
      <c r="I35" s="21" t="str">
        <f t="shared" si="4"/>
        <v>-</v>
      </c>
    </row>
    <row r="36" ht="33.0" customHeight="1">
      <c r="A36" s="26">
        <v>11.0</v>
      </c>
      <c r="B36" s="27" t="s">
        <v>42</v>
      </c>
      <c r="C36" s="26" t="s">
        <v>31</v>
      </c>
      <c r="D36" s="23">
        <f>IF('Source Data - In Progress'!C94="","",'Source Data - In Progress'!C94)</f>
        <v>300</v>
      </c>
      <c r="E36" s="23">
        <f>IF('Source Data - In Progress'!D94="","",'Source Data - In Progress'!D94)</f>
        <v>600</v>
      </c>
      <c r="F36" s="23">
        <f>IF('Source Data - In Progress'!E94="","",'Source Data - In Progress'!E94)</f>
        <v>450</v>
      </c>
      <c r="G36" s="28">
        <v>0.0</v>
      </c>
      <c r="H36" s="25">
        <f t="shared" si="3"/>
        <v>0</v>
      </c>
      <c r="I36" s="21" t="str">
        <f t="shared" si="4"/>
        <v>-</v>
      </c>
    </row>
    <row r="37" ht="21.75" customHeight="1">
      <c r="A37" s="26">
        <v>12.0</v>
      </c>
      <c r="B37" s="27" t="s">
        <v>43</v>
      </c>
      <c r="C37" s="26" t="s">
        <v>31</v>
      </c>
      <c r="D37" s="23">
        <f>IF('Source Data - In Progress'!C100="","",'Source Data - In Progress'!C100)</f>
        <v>450</v>
      </c>
      <c r="E37" s="23">
        <f>IF('Source Data - In Progress'!D100="","",'Source Data - In Progress'!D100)</f>
        <v>1800</v>
      </c>
      <c r="F37" s="23">
        <f>IF('Source Data - In Progress'!E100="","",'Source Data - In Progress'!E100)</f>
        <v>1125</v>
      </c>
      <c r="G37" s="28">
        <v>0.0</v>
      </c>
      <c r="H37" s="25">
        <f t="shared" si="3"/>
        <v>0</v>
      </c>
      <c r="I37" s="21" t="str">
        <f t="shared" si="4"/>
        <v>-</v>
      </c>
    </row>
    <row r="38" ht="21.75" customHeight="1">
      <c r="A38" s="26">
        <v>13.0</v>
      </c>
      <c r="B38" s="27" t="s">
        <v>44</v>
      </c>
      <c r="C38" s="21" t="s">
        <v>34</v>
      </c>
      <c r="D38" s="23">
        <f>IF('Source Data - In Progress'!C109="","",'Source Data - In Progress'!C109)</f>
        <v>6600</v>
      </c>
      <c r="E38" s="23">
        <f>IF('Source Data - In Progress'!D109="","",'Source Data - In Progress'!D109)</f>
        <v>28900</v>
      </c>
      <c r="F38" s="23">
        <f>IF('Source Data - In Progress'!E109="","",'Source Data - In Progress'!E109)</f>
        <v>21050</v>
      </c>
      <c r="G38" s="28">
        <v>0.0</v>
      </c>
      <c r="H38" s="25">
        <f t="shared" si="3"/>
        <v>0</v>
      </c>
      <c r="I38" s="21" t="str">
        <f t="shared" si="4"/>
        <v>-</v>
      </c>
    </row>
    <row r="39" ht="21.75" customHeight="1">
      <c r="A39" s="26">
        <v>14.0</v>
      </c>
      <c r="B39" s="27" t="s">
        <v>45</v>
      </c>
      <c r="C39" s="26" t="s">
        <v>46</v>
      </c>
      <c r="D39" s="23">
        <f>IF('Source Data - In Progress'!C115="","",'Source Data - In Progress'!C115)</f>
        <v>138</v>
      </c>
      <c r="E39" s="23">
        <f>IF('Source Data - In Progress'!D115="","",'Source Data - In Progress'!D115)</f>
        <v>138</v>
      </c>
      <c r="F39" s="23">
        <f>IF('Source Data - In Progress'!E115="","",'Source Data - In Progress'!E115)</f>
        <v>138</v>
      </c>
      <c r="G39" s="28">
        <v>0.0</v>
      </c>
      <c r="H39" s="25">
        <f t="shared" si="3"/>
        <v>0</v>
      </c>
      <c r="I39" s="21" t="str">
        <f t="shared" si="4"/>
        <v>-</v>
      </c>
    </row>
    <row r="40" ht="21.75" customHeight="1">
      <c r="A40" s="26">
        <v>15.0</v>
      </c>
      <c r="B40" s="27" t="s">
        <v>47</v>
      </c>
      <c r="C40" s="21" t="s">
        <v>48</v>
      </c>
      <c r="D40" s="23">
        <f>IF('Source Data - In Progress'!C121="","",'Source Data - In Progress'!C121)</f>
        <v>8431</v>
      </c>
      <c r="E40" s="23">
        <f>IF('Source Data - In Progress'!D121="","",'Source Data - In Progress'!D121)</f>
        <v>11000</v>
      </c>
      <c r="F40" s="23">
        <f>IF('Source Data - In Progress'!E121="","",'Source Data - In Progress'!E121)</f>
        <v>9716</v>
      </c>
      <c r="G40" s="28">
        <v>0.0</v>
      </c>
      <c r="H40" s="25">
        <f t="shared" si="3"/>
        <v>0</v>
      </c>
      <c r="I40" s="21" t="str">
        <f t="shared" si="4"/>
        <v>-</v>
      </c>
    </row>
    <row r="41" ht="18.0" customHeight="1">
      <c r="B41" s="20" t="s">
        <v>49</v>
      </c>
      <c r="C41" s="2"/>
      <c r="D41" s="2"/>
      <c r="E41" s="2"/>
      <c r="F41" s="2"/>
      <c r="G41" s="2"/>
      <c r="H41" s="2"/>
      <c r="I41" s="3"/>
    </row>
    <row r="42" ht="21.75" customHeight="1">
      <c r="A42" s="26">
        <v>16.0</v>
      </c>
      <c r="B42" s="27" t="s">
        <v>50</v>
      </c>
      <c r="C42" s="26" t="s">
        <v>31</v>
      </c>
      <c r="D42" s="23">
        <f>IF('Source Data - In Progress'!C130="","",'Source Data - In Progress'!C130)</f>
        <v>20</v>
      </c>
      <c r="E42" s="23">
        <f>IF('Source Data - In Progress'!D130="","",'Source Data - In Progress'!D130)</f>
        <v>34</v>
      </c>
      <c r="F42" s="23">
        <f>IF('Source Data - In Progress'!E130="","",'Source Data - In Progress'!E130)</f>
        <v>27</v>
      </c>
      <c r="G42" s="28">
        <v>0.0</v>
      </c>
      <c r="H42" s="25">
        <f t="shared" ref="H42:H50" si="5">IFERROR(F42*G42,"")</f>
        <v>0</v>
      </c>
      <c r="I42" s="21" t="str">
        <f t="shared" ref="I42:I50" si="6">IFERROR(IF(G42=0,"-",TEXT(D42*G42,"$#,##0")&amp;" - "&amp;TEXT(E42*G42,"$#,##0")),"")</f>
        <v>-</v>
      </c>
    </row>
    <row r="43" ht="21.75" customHeight="1">
      <c r="A43" s="26">
        <v>17.0</v>
      </c>
      <c r="B43" s="27" t="s">
        <v>51</v>
      </c>
      <c r="C43" s="21" t="s">
        <v>52</v>
      </c>
      <c r="D43" s="23">
        <f>IF('Source Data - In Progress'!C137="","",'Source Data - In Progress'!C137)</f>
        <v>127</v>
      </c>
      <c r="E43" s="23">
        <f>IF('Source Data - In Progress'!D137="","",'Source Data - In Progress'!D137)</f>
        <v>365</v>
      </c>
      <c r="F43" s="23">
        <f>IF('Source Data - In Progress'!E137="","",'Source Data - In Progress'!E137)</f>
        <v>246</v>
      </c>
      <c r="G43" s="28">
        <v>0.0</v>
      </c>
      <c r="H43" s="25">
        <f t="shared" si="5"/>
        <v>0</v>
      </c>
      <c r="I43" s="21" t="str">
        <f t="shared" si="6"/>
        <v>-</v>
      </c>
    </row>
    <row r="44" ht="21.75" customHeight="1">
      <c r="A44" s="26">
        <v>18.0</v>
      </c>
      <c r="B44" s="27" t="s">
        <v>53</v>
      </c>
      <c r="C44" s="21" t="s">
        <v>54</v>
      </c>
      <c r="D44" s="23">
        <f>IF('Source Data - In Progress'!C143="","",'Source Data - In Progress'!C143)</f>
        <v>700</v>
      </c>
      <c r="E44" s="23">
        <f>IF('Source Data - In Progress'!D143="","",'Source Data - In Progress'!D143)</f>
        <v>2150</v>
      </c>
      <c r="F44" s="23">
        <f>IF('Source Data - In Progress'!E143="","",'Source Data - In Progress'!E143)</f>
        <v>1425</v>
      </c>
      <c r="G44" s="28">
        <v>0.0</v>
      </c>
      <c r="H44" s="25">
        <f t="shared" si="5"/>
        <v>0</v>
      </c>
      <c r="I44" s="21" t="str">
        <f t="shared" si="6"/>
        <v>-</v>
      </c>
    </row>
    <row r="45" ht="21.75" customHeight="1">
      <c r="A45" s="26">
        <v>19.0</v>
      </c>
      <c r="B45" s="27" t="s">
        <v>55</v>
      </c>
      <c r="C45" s="21" t="s">
        <v>56</v>
      </c>
      <c r="D45" s="23">
        <f>IF('Source Data - In Progress'!C148="","",'Source Data - In Progress'!C148)</f>
        <v>33681</v>
      </c>
      <c r="E45" s="23">
        <f>IF('Source Data - In Progress'!D148="","",'Source Data - In Progress'!D148)</f>
        <v>33681</v>
      </c>
      <c r="F45" s="23">
        <f>IF('Source Data - In Progress'!E148="","",'Source Data - In Progress'!E148)</f>
        <v>33681</v>
      </c>
      <c r="G45" s="28">
        <v>0.0</v>
      </c>
      <c r="H45" s="25">
        <f t="shared" si="5"/>
        <v>0</v>
      </c>
      <c r="I45" s="21" t="str">
        <f t="shared" si="6"/>
        <v>-</v>
      </c>
    </row>
    <row r="46" ht="21.75" customHeight="1">
      <c r="A46" s="26">
        <v>20.0</v>
      </c>
      <c r="B46" s="27" t="s">
        <v>57</v>
      </c>
      <c r="C46" s="21" t="s">
        <v>48</v>
      </c>
      <c r="D46" s="23">
        <f>'Source Data - In Progress'!C156</f>
        <v>767</v>
      </c>
      <c r="E46" s="23">
        <f>'Source Data - In Progress'!D156</f>
        <v>2900</v>
      </c>
      <c r="F46" s="23">
        <f>'Source Data - In Progress'!E156</f>
        <v>3000</v>
      </c>
      <c r="G46" s="28">
        <v>0.0</v>
      </c>
      <c r="H46" s="25">
        <f t="shared" si="5"/>
        <v>0</v>
      </c>
      <c r="I46" s="21" t="str">
        <f t="shared" si="6"/>
        <v>-</v>
      </c>
    </row>
    <row r="47" ht="21.75" customHeight="1">
      <c r="A47" s="26">
        <v>21.0</v>
      </c>
      <c r="B47" s="27" t="s">
        <v>58</v>
      </c>
      <c r="C47" s="21" t="s">
        <v>59</v>
      </c>
      <c r="D47" s="23">
        <f>IF('Source Data - In Progress'!C162="","",'Source Data - In Progress'!C162)</f>
        <v>900</v>
      </c>
      <c r="E47" s="23">
        <f>IF('Source Data - In Progress'!D162="","",'Source Data - In Progress'!D162)</f>
        <v>3250</v>
      </c>
      <c r="F47" s="23">
        <f>IF('Source Data - In Progress'!E162="","",'Source Data - In Progress'!E162)</f>
        <v>2075</v>
      </c>
      <c r="G47" s="28">
        <v>0.0</v>
      </c>
      <c r="H47" s="25">
        <f t="shared" si="5"/>
        <v>0</v>
      </c>
      <c r="I47" s="21" t="str">
        <f t="shared" si="6"/>
        <v>-</v>
      </c>
    </row>
    <row r="48" ht="21.75" customHeight="1">
      <c r="A48" s="26">
        <v>22.0</v>
      </c>
      <c r="B48" s="27" t="s">
        <v>60</v>
      </c>
      <c r="C48" s="26" t="s">
        <v>61</v>
      </c>
      <c r="D48" s="23">
        <f>IF('Source Data - In Progress'!C169="","",'Source Data - In Progress'!C169)</f>
        <v>1267</v>
      </c>
      <c r="E48" s="23">
        <f>IF('Source Data - In Progress'!D169="","",'Source Data - In Progress'!D169)</f>
        <v>3667</v>
      </c>
      <c r="F48" s="23">
        <f>IF('Source Data - In Progress'!E169="","",'Source Data - In Progress'!E169)</f>
        <v>2467</v>
      </c>
      <c r="G48" s="28">
        <v>0.0</v>
      </c>
      <c r="H48" s="25">
        <f t="shared" si="5"/>
        <v>0</v>
      </c>
      <c r="I48" s="21" t="str">
        <f t="shared" si="6"/>
        <v>-</v>
      </c>
    </row>
    <row r="49" ht="21.75" customHeight="1">
      <c r="A49" s="26">
        <v>23.0</v>
      </c>
      <c r="B49" s="22" t="s">
        <v>62</v>
      </c>
      <c r="C49" s="26" t="s">
        <v>61</v>
      </c>
      <c r="D49" s="23">
        <f>'Source Data - In Progress'!C181</f>
        <v>716</v>
      </c>
      <c r="E49" s="23">
        <f>'Source Data - In Progress'!D181</f>
        <v>5922</v>
      </c>
      <c r="F49" s="23">
        <f>'Source Data - In Progress'!E181</f>
        <v>3319</v>
      </c>
      <c r="G49" s="28">
        <v>0.0</v>
      </c>
      <c r="H49" s="25">
        <f t="shared" si="5"/>
        <v>0</v>
      </c>
      <c r="I49" s="21" t="str">
        <f t="shared" si="6"/>
        <v>-</v>
      </c>
    </row>
    <row r="50" ht="21.75" customHeight="1">
      <c r="A50" s="26">
        <v>24.0</v>
      </c>
      <c r="B50" s="27" t="s">
        <v>63</v>
      </c>
      <c r="C50" s="26" t="s">
        <v>61</v>
      </c>
      <c r="D50" s="23">
        <f>IF('Source Data - In Progress'!C175="","",'Source Data - In Progress'!C175)</f>
        <v>650</v>
      </c>
      <c r="E50" s="23">
        <f>IF('Source Data - In Progress'!D175="","",'Source Data - In Progress'!D175)</f>
        <v>4100</v>
      </c>
      <c r="F50" s="23">
        <f>IF('Source Data - In Progress'!E175="","",'Source Data - In Progress'!E175)</f>
        <v>2375</v>
      </c>
      <c r="G50" s="28">
        <v>0.0</v>
      </c>
      <c r="H50" s="25">
        <f t="shared" si="5"/>
        <v>0</v>
      </c>
      <c r="I50" s="21" t="str">
        <f t="shared" si="6"/>
        <v>-</v>
      </c>
    </row>
    <row r="51" ht="15.75" customHeight="1"/>
    <row r="52" ht="15.75" customHeight="1"/>
    <row r="53" ht="19.5" customHeight="1">
      <c r="B53" s="17" t="s">
        <v>64</v>
      </c>
      <c r="C53" s="2"/>
      <c r="D53" s="2"/>
      <c r="E53" s="2"/>
      <c r="F53" s="2"/>
      <c r="G53" s="2"/>
      <c r="H53" s="2"/>
      <c r="I53" s="3"/>
    </row>
    <row r="54" ht="15.75" customHeight="1">
      <c r="B54" s="8" t="s">
        <v>65</v>
      </c>
    </row>
    <row r="55" ht="15.75" customHeight="1">
      <c r="B55" s="9" t="s">
        <v>66</v>
      </c>
      <c r="C55" s="32">
        <f>IFERROR(SUM(H24:H50),0)</f>
        <v>0</v>
      </c>
    </row>
    <row r="56" ht="15.75" customHeight="1">
      <c r="B56" s="9" t="s">
        <v>67</v>
      </c>
      <c r="C56" s="14">
        <f>C18</f>
        <v>0</v>
      </c>
    </row>
    <row r="57" ht="15.75" customHeight="1">
      <c r="B57" s="9" t="s">
        <v>68</v>
      </c>
      <c r="C57" s="33">
        <f>C56-C55</f>
        <v>0</v>
      </c>
    </row>
    <row r="58" ht="15.75" customHeight="1">
      <c r="B58" s="9" t="s">
        <v>69</v>
      </c>
      <c r="C58" s="34">
        <f>IF(C18=0,0,C55/C18)</f>
        <v>0</v>
      </c>
    </row>
    <row r="59" ht="15.75" customHeight="1">
      <c r="B59" s="9" t="s">
        <v>70</v>
      </c>
      <c r="C59" s="14">
        <f>C17</f>
        <v>0</v>
      </c>
    </row>
    <row r="60" ht="15.75" customHeight="1">
      <c r="B60" s="9" t="s">
        <v>71</v>
      </c>
      <c r="C60" s="32">
        <f>C55+C17</f>
        <v>0</v>
      </c>
    </row>
    <row r="61" ht="15.75" customHeight="1">
      <c r="B61" s="9" t="s">
        <v>72</v>
      </c>
      <c r="C61" s="35">
        <f>IF(C12=0,0,C60/C12)</f>
        <v>0</v>
      </c>
    </row>
    <row r="62" ht="15.75" customHeight="1"/>
    <row r="63" ht="15.75" customHeight="1"/>
    <row r="64" ht="15.75" customHeight="1">
      <c r="B64" s="36" t="s">
        <v>73</v>
      </c>
    </row>
    <row r="65" ht="15.75" customHeight="1">
      <c r="B65" s="8" t="s">
        <v>74</v>
      </c>
    </row>
    <row r="66" ht="15.75" customHeight="1">
      <c r="B66" s="18" t="s">
        <v>75</v>
      </c>
      <c r="C66" s="18" t="s">
        <v>76</v>
      </c>
      <c r="D66" s="18" t="s">
        <v>77</v>
      </c>
      <c r="E66" s="18" t="s">
        <v>78</v>
      </c>
      <c r="F66" s="18" t="s">
        <v>79</v>
      </c>
    </row>
    <row r="67" ht="15.75" customHeight="1">
      <c r="B67" s="37" t="s">
        <v>80</v>
      </c>
      <c r="C67" s="14">
        <v>1000000.0</v>
      </c>
      <c r="D67" s="14">
        <v>2000000.0</v>
      </c>
      <c r="E67" s="14">
        <v>4000000.0</v>
      </c>
      <c r="F67" s="14">
        <v>1.0E7</v>
      </c>
    </row>
    <row r="68" ht="15.75" customHeight="1">
      <c r="B68" s="37" t="s">
        <v>81</v>
      </c>
      <c r="C68" s="14">
        <v>2000000.0</v>
      </c>
      <c r="D68" s="14">
        <v>4000000.0</v>
      </c>
      <c r="E68" s="14">
        <v>8000000.0</v>
      </c>
      <c r="F68" s="14">
        <v>2.0E7</v>
      </c>
    </row>
    <row r="69" ht="15.75" customHeight="1">
      <c r="B69" s="37" t="s">
        <v>82</v>
      </c>
      <c r="C69" s="14">
        <v>5000000.0</v>
      </c>
      <c r="D69" s="14">
        <v>1.0E7</v>
      </c>
      <c r="E69" s="14">
        <v>2.0E7</v>
      </c>
      <c r="F69" s="14">
        <v>5.0E7</v>
      </c>
    </row>
    <row r="70" ht="15.75" customHeight="1">
      <c r="B70" s="37" t="s">
        <v>83</v>
      </c>
      <c r="C70" s="14">
        <v>1.0E7</v>
      </c>
      <c r="D70" s="14">
        <v>2.0E7</v>
      </c>
      <c r="E70" s="14">
        <v>4.0E7</v>
      </c>
      <c r="F70" s="14">
        <v>1.0E8</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14">
    <mergeCell ref="B24:I24"/>
    <mergeCell ref="B32:I32"/>
    <mergeCell ref="B41:I41"/>
    <mergeCell ref="B53:I53"/>
    <mergeCell ref="B54:I54"/>
    <mergeCell ref="B64:I64"/>
    <mergeCell ref="B65:I65"/>
    <mergeCell ref="A1:I1"/>
    <mergeCell ref="A2:I2"/>
    <mergeCell ref="A4:I4"/>
    <mergeCell ref="B7:I7"/>
    <mergeCell ref="B8:I8"/>
    <mergeCell ref="B21:I21"/>
    <mergeCell ref="B22:I22"/>
  </mergeCells>
  <hyperlinks>
    <hyperlink r:id="rId2" ref="J1"/>
    <hyperlink r:id="rId3" ref="A2"/>
  </hyperlinks>
  <printOptions/>
  <pageMargins bottom="1.0" footer="0.0" header="0.0" left="0.75" right="0.75" top="1.0"/>
  <pageSetup paperSize="9"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50.0"/>
    <col customWidth="1" min="3" max="5" width="13.0"/>
    <col customWidth="1" min="6" max="6" width="32.0"/>
    <col customWidth="1" min="7" max="7" width="48.0"/>
    <col customWidth="1" min="8" max="8" width="8.0"/>
    <col customWidth="1" min="9" max="9" width="47.71"/>
    <col customWidth="1" min="10" max="10" width="61.86"/>
    <col customWidth="1" min="11" max="11" width="31.57"/>
    <col customWidth="1" min="12" max="12" width="9.29"/>
    <col customWidth="1" min="13" max="26" width="8.71"/>
  </cols>
  <sheetData>
    <row r="1" ht="25.5" customHeight="1">
      <c r="A1" s="38" t="s">
        <v>84</v>
      </c>
      <c r="B1" s="2"/>
      <c r="C1" s="2"/>
      <c r="D1" s="2"/>
      <c r="E1" s="2"/>
      <c r="F1" s="2"/>
      <c r="G1" s="2"/>
      <c r="H1" s="3"/>
    </row>
    <row r="2" ht="30.0" customHeight="1">
      <c r="A2" s="39" t="s">
        <v>85</v>
      </c>
    </row>
    <row r="4" ht="19.5" customHeight="1">
      <c r="A4" s="17" t="s">
        <v>26</v>
      </c>
      <c r="B4" s="2"/>
      <c r="C4" s="2"/>
      <c r="D4" s="2"/>
      <c r="E4" s="2"/>
      <c r="F4" s="2"/>
      <c r="G4" s="2"/>
      <c r="H4" s="3"/>
    </row>
    <row r="5" ht="18.0" customHeight="1">
      <c r="A5" s="40" t="s">
        <v>86</v>
      </c>
      <c r="B5" s="2"/>
      <c r="C5" s="2"/>
      <c r="D5" s="2"/>
      <c r="E5" s="2"/>
      <c r="F5" s="2"/>
      <c r="G5" s="2"/>
      <c r="H5" s="3"/>
    </row>
    <row r="6" ht="25.5" customHeight="1">
      <c r="A6" s="18" t="s">
        <v>17</v>
      </c>
      <c r="B6" s="18" t="s">
        <v>87</v>
      </c>
      <c r="C6" s="18" t="s">
        <v>88</v>
      </c>
      <c r="D6" s="18" t="s">
        <v>89</v>
      </c>
      <c r="E6" s="18" t="s">
        <v>90</v>
      </c>
      <c r="F6" s="18" t="s">
        <v>91</v>
      </c>
      <c r="G6" s="18" t="s">
        <v>92</v>
      </c>
      <c r="H6" s="18" t="s">
        <v>93</v>
      </c>
    </row>
    <row r="7" ht="31.5" customHeight="1">
      <c r="A7" s="21">
        <v>1.0</v>
      </c>
      <c r="B7" s="27" t="s">
        <v>94</v>
      </c>
      <c r="C7" s="41">
        <v>8100.0</v>
      </c>
      <c r="D7" s="41">
        <v>10500.0</v>
      </c>
      <c r="E7" s="42">
        <f t="shared" ref="E7:E11" si="1">IFERROR(ROUND((C7+D7)/2,0),"")</f>
        <v>9300</v>
      </c>
      <c r="F7" s="43" t="s">
        <v>95</v>
      </c>
      <c r="G7" s="44" t="s">
        <v>96</v>
      </c>
      <c r="H7" s="21">
        <v>2014.0</v>
      </c>
    </row>
    <row r="8" ht="31.5" customHeight="1">
      <c r="A8" s="21">
        <v>2.0</v>
      </c>
      <c r="B8" s="27" t="s">
        <v>97</v>
      </c>
      <c r="C8" s="41">
        <v>9600.0</v>
      </c>
      <c r="D8" s="41">
        <v>12800.0</v>
      </c>
      <c r="E8" s="42">
        <f t="shared" si="1"/>
        <v>11200</v>
      </c>
      <c r="F8" s="43" t="s">
        <v>95</v>
      </c>
      <c r="G8" s="44" t="s">
        <v>98</v>
      </c>
      <c r="H8" s="21">
        <v>2014.0</v>
      </c>
    </row>
    <row r="9" ht="31.5" customHeight="1">
      <c r="A9" s="21">
        <v>3.0</v>
      </c>
      <c r="B9" s="27" t="s">
        <v>99</v>
      </c>
      <c r="C9" s="41">
        <v>5000.0</v>
      </c>
      <c r="D9" s="41">
        <v>5000.0</v>
      </c>
      <c r="E9" s="42">
        <f t="shared" si="1"/>
        <v>5000</v>
      </c>
      <c r="F9" s="43" t="s">
        <v>100</v>
      </c>
      <c r="G9" s="44" t="s">
        <v>101</v>
      </c>
      <c r="H9" s="21">
        <v>2001.0</v>
      </c>
    </row>
    <row r="10" ht="31.5" customHeight="1">
      <c r="A10" s="21">
        <v>4.0</v>
      </c>
      <c r="B10" s="27" t="s">
        <v>102</v>
      </c>
      <c r="C10" s="41">
        <v>5000.0</v>
      </c>
      <c r="D10" s="41">
        <v>5000.0</v>
      </c>
      <c r="E10" s="42">
        <f t="shared" si="1"/>
        <v>5000</v>
      </c>
      <c r="F10" s="43" t="s">
        <v>100</v>
      </c>
      <c r="G10" s="44" t="s">
        <v>103</v>
      </c>
      <c r="H10" s="21">
        <v>2001.0</v>
      </c>
    </row>
    <row r="11" ht="31.5" customHeight="1">
      <c r="A11" s="26">
        <v>5.0</v>
      </c>
      <c r="B11" s="22" t="s">
        <v>104</v>
      </c>
      <c r="C11" s="45">
        <v>10000.0</v>
      </c>
      <c r="D11" s="45">
        <v>50000.0</v>
      </c>
      <c r="E11" s="42">
        <f t="shared" si="1"/>
        <v>30000</v>
      </c>
      <c r="F11" s="46" t="s">
        <v>105</v>
      </c>
      <c r="G11" s="44"/>
      <c r="H11" s="21"/>
    </row>
    <row r="12" ht="31.5" customHeight="1">
      <c r="A12" s="26">
        <v>6.0</v>
      </c>
      <c r="B12" s="22" t="s">
        <v>106</v>
      </c>
      <c r="C12" s="45">
        <v>15000.0</v>
      </c>
      <c r="D12" s="45">
        <v>15000.0</v>
      </c>
      <c r="E12" s="47">
        <v>15000.0</v>
      </c>
      <c r="F12" s="46" t="s">
        <v>107</v>
      </c>
      <c r="G12" s="44"/>
      <c r="H12" s="21"/>
    </row>
    <row r="13" ht="31.5" customHeight="1">
      <c r="A13" s="26">
        <v>7.0</v>
      </c>
      <c r="B13" s="22" t="s">
        <v>108</v>
      </c>
      <c r="C13" s="45">
        <v>8000.0</v>
      </c>
      <c r="D13" s="45">
        <v>10000.0</v>
      </c>
      <c r="E13" s="42">
        <f t="shared" ref="E13:E14" si="2">IFERROR(ROUND((C13+D13)/2,0),"")</f>
        <v>9000</v>
      </c>
      <c r="F13" s="46" t="s">
        <v>107</v>
      </c>
      <c r="G13" s="44"/>
      <c r="H13" s="21"/>
    </row>
    <row r="14" ht="31.5" customHeight="1">
      <c r="A14" s="21"/>
      <c r="B14" s="22" t="s">
        <v>109</v>
      </c>
      <c r="C14" s="45">
        <v>69000.0</v>
      </c>
      <c r="D14" s="45">
        <v>92495.0</v>
      </c>
      <c r="E14" s="42">
        <f t="shared" si="2"/>
        <v>80748</v>
      </c>
      <c r="F14" s="46" t="s">
        <v>110</v>
      </c>
      <c r="G14" s="44"/>
      <c r="H14" s="26">
        <v>2025.0</v>
      </c>
    </row>
    <row r="15" ht="19.5" customHeight="1">
      <c r="A15" s="48"/>
      <c r="B15" s="49" t="s">
        <v>111</v>
      </c>
      <c r="C15" s="50">
        <f t="shared" ref="C15:E15" si="3">IFERROR(ROUND(AVERAGE(C7:C14),0),"")</f>
        <v>16213</v>
      </c>
      <c r="D15" s="50">
        <f t="shared" si="3"/>
        <v>25099</v>
      </c>
      <c r="E15" s="50">
        <f t="shared" si="3"/>
        <v>20656</v>
      </c>
      <c r="F15" s="48"/>
      <c r="G15" s="48"/>
      <c r="H15" s="48"/>
    </row>
    <row r="17" ht="18.0" customHeight="1">
      <c r="A17" s="40" t="s">
        <v>112</v>
      </c>
      <c r="B17" s="2"/>
      <c r="C17" s="2"/>
      <c r="D17" s="2"/>
      <c r="E17" s="2"/>
      <c r="F17" s="2"/>
      <c r="G17" s="2"/>
      <c r="H17" s="3"/>
    </row>
    <row r="18" ht="25.5" customHeight="1">
      <c r="A18" s="18" t="s">
        <v>17</v>
      </c>
      <c r="B18" s="18" t="s">
        <v>87</v>
      </c>
      <c r="C18" s="18" t="s">
        <v>88</v>
      </c>
      <c r="D18" s="18" t="s">
        <v>89</v>
      </c>
      <c r="E18" s="18" t="s">
        <v>90</v>
      </c>
      <c r="F18" s="18" t="s">
        <v>91</v>
      </c>
      <c r="G18" s="18" t="s">
        <v>92</v>
      </c>
      <c r="H18" s="18" t="s">
        <v>93</v>
      </c>
    </row>
    <row r="19" ht="31.5" customHeight="1">
      <c r="A19" s="21">
        <v>1.0</v>
      </c>
      <c r="B19" s="27" t="s">
        <v>113</v>
      </c>
      <c r="C19" s="41">
        <v>166300.0</v>
      </c>
      <c r="D19" s="41">
        <v>425400.0</v>
      </c>
      <c r="E19" s="42">
        <f t="shared" ref="E19:E26" si="4">IFERROR(ROUND((C19+D19)/2,0),"")</f>
        <v>295850</v>
      </c>
      <c r="F19" s="43" t="s">
        <v>95</v>
      </c>
      <c r="G19" s="44" t="s">
        <v>114</v>
      </c>
      <c r="H19" s="21">
        <v>2014.0</v>
      </c>
    </row>
    <row r="20" ht="31.5" customHeight="1">
      <c r="A20" s="21">
        <v>2.0</v>
      </c>
      <c r="B20" s="27" t="s">
        <v>115</v>
      </c>
      <c r="C20" s="41">
        <v>109800.0</v>
      </c>
      <c r="D20" s="41">
        <v>290000.0</v>
      </c>
      <c r="E20" s="42">
        <f t="shared" si="4"/>
        <v>199900</v>
      </c>
      <c r="F20" s="43" t="s">
        <v>95</v>
      </c>
      <c r="G20" s="44" t="s">
        <v>116</v>
      </c>
      <c r="H20" s="21">
        <v>2014.0</v>
      </c>
    </row>
    <row r="21" ht="31.5" customHeight="1">
      <c r="A21" s="21">
        <v>3.0</v>
      </c>
      <c r="B21" s="27" t="s">
        <v>117</v>
      </c>
      <c r="C21" s="41">
        <v>198880.0</v>
      </c>
      <c r="D21" s="41">
        <v>198880.0</v>
      </c>
      <c r="E21" s="42">
        <f t="shared" si="4"/>
        <v>198880</v>
      </c>
      <c r="F21" s="43" t="s">
        <v>118</v>
      </c>
      <c r="G21" s="44" t="s">
        <v>119</v>
      </c>
      <c r="H21" s="21">
        <v>2020.0</v>
      </c>
    </row>
    <row r="22" ht="31.5" customHeight="1">
      <c r="A22" s="21">
        <v>4.0</v>
      </c>
      <c r="B22" s="27" t="s">
        <v>120</v>
      </c>
      <c r="C22" s="41">
        <v>125000.0</v>
      </c>
      <c r="D22" s="41">
        <v>125000.0</v>
      </c>
      <c r="E22" s="42">
        <f t="shared" si="4"/>
        <v>125000</v>
      </c>
      <c r="F22" s="43" t="s">
        <v>100</v>
      </c>
      <c r="G22" s="44" t="s">
        <v>121</v>
      </c>
      <c r="H22" s="21">
        <v>2001.0</v>
      </c>
    </row>
    <row r="23" ht="31.5" customHeight="1">
      <c r="A23" s="21">
        <v>5.0</v>
      </c>
      <c r="B23" s="27" t="s">
        <v>122</v>
      </c>
      <c r="C23" s="41">
        <v>48000.0</v>
      </c>
      <c r="D23" s="41">
        <v>78000.0</v>
      </c>
      <c r="E23" s="42">
        <f t="shared" si="4"/>
        <v>63000</v>
      </c>
      <c r="F23" s="43" t="s">
        <v>100</v>
      </c>
      <c r="G23" s="44" t="s">
        <v>123</v>
      </c>
      <c r="H23" s="21">
        <v>2001.0</v>
      </c>
    </row>
    <row r="24" ht="31.5" customHeight="1">
      <c r="A24" s="21">
        <v>6.0</v>
      </c>
      <c r="B24" s="27" t="s">
        <v>124</v>
      </c>
      <c r="C24" s="41">
        <v>40000.0</v>
      </c>
      <c r="D24" s="41">
        <v>40000.0</v>
      </c>
      <c r="E24" s="42">
        <f t="shared" si="4"/>
        <v>40000</v>
      </c>
      <c r="F24" s="43" t="s">
        <v>100</v>
      </c>
      <c r="G24" s="44" t="s">
        <v>125</v>
      </c>
      <c r="H24" s="21">
        <v>2001.0</v>
      </c>
    </row>
    <row r="25" ht="31.5" customHeight="1">
      <c r="A25" s="26">
        <v>7.0</v>
      </c>
      <c r="B25" s="22" t="s">
        <v>126</v>
      </c>
      <c r="C25" s="45">
        <v>6600.0</v>
      </c>
      <c r="D25" s="45">
        <v>79000.0</v>
      </c>
      <c r="E25" s="42">
        <f t="shared" si="4"/>
        <v>42800</v>
      </c>
      <c r="F25" s="46" t="s">
        <v>127</v>
      </c>
      <c r="G25" s="44"/>
      <c r="H25" s="26">
        <v>2007.0</v>
      </c>
    </row>
    <row r="26" ht="31.5" customHeight="1">
      <c r="A26" s="26">
        <v>8.0</v>
      </c>
      <c r="B26" s="22" t="s">
        <v>108</v>
      </c>
      <c r="C26" s="45">
        <v>10000.0</v>
      </c>
      <c r="D26" s="45">
        <v>15000.0</v>
      </c>
      <c r="E26" s="42">
        <f t="shared" si="4"/>
        <v>12500</v>
      </c>
      <c r="F26" s="51" t="s">
        <v>107</v>
      </c>
      <c r="G26" s="44"/>
      <c r="H26" s="26"/>
    </row>
    <row r="27" ht="19.5" customHeight="1">
      <c r="A27" s="48"/>
      <c r="B27" s="49" t="s">
        <v>111</v>
      </c>
      <c r="C27" s="50">
        <f t="shared" ref="C27:E27" si="5">IFERROR(ROUND(AVERAGE(C19:C26),0),"")</f>
        <v>88073</v>
      </c>
      <c r="D27" s="50">
        <f t="shared" si="5"/>
        <v>156410</v>
      </c>
      <c r="E27" s="50">
        <f t="shared" si="5"/>
        <v>122241</v>
      </c>
      <c r="F27" s="48"/>
      <c r="G27" s="48"/>
      <c r="H27" s="48"/>
    </row>
    <row r="28" ht="15.75" customHeight="1"/>
    <row r="29" ht="18.0" customHeight="1">
      <c r="A29" s="40" t="s">
        <v>128</v>
      </c>
      <c r="B29" s="2"/>
      <c r="C29" s="2"/>
      <c r="D29" s="2"/>
      <c r="E29" s="2"/>
      <c r="F29" s="2"/>
      <c r="G29" s="2"/>
      <c r="H29" s="3"/>
    </row>
    <row r="30" ht="25.5" customHeight="1">
      <c r="A30" s="18" t="s">
        <v>17</v>
      </c>
      <c r="B30" s="18" t="s">
        <v>87</v>
      </c>
      <c r="C30" s="18" t="s">
        <v>88</v>
      </c>
      <c r="D30" s="18" t="s">
        <v>89</v>
      </c>
      <c r="E30" s="18" t="s">
        <v>90</v>
      </c>
      <c r="F30" s="18" t="s">
        <v>91</v>
      </c>
      <c r="G30" s="18" t="s">
        <v>92</v>
      </c>
      <c r="H30" s="18" t="s">
        <v>93</v>
      </c>
    </row>
    <row r="31" ht="31.5" customHeight="1">
      <c r="A31" s="21">
        <v>1.0</v>
      </c>
      <c r="B31" s="27" t="s">
        <v>129</v>
      </c>
      <c r="C31" s="41">
        <v>400.0</v>
      </c>
      <c r="D31" s="41">
        <v>1600.0</v>
      </c>
      <c r="E31" s="42">
        <f t="shared" ref="E31:E34" si="6">IFERROR(ROUND((C31+D31)/2,0),"")</f>
        <v>1000</v>
      </c>
      <c r="F31" s="52" t="s">
        <v>130</v>
      </c>
      <c r="G31" s="44" t="s">
        <v>131</v>
      </c>
      <c r="H31" s="21">
        <v>2024.0</v>
      </c>
    </row>
    <row r="32" ht="31.5" customHeight="1">
      <c r="A32" s="21">
        <v>2.0</v>
      </c>
      <c r="B32" s="27" t="s">
        <v>132</v>
      </c>
      <c r="C32" s="41">
        <v>1143.0</v>
      </c>
      <c r="D32" s="41">
        <v>1143.0</v>
      </c>
      <c r="E32" s="42">
        <f t="shared" si="6"/>
        <v>1143</v>
      </c>
      <c r="F32" s="43" t="s">
        <v>100</v>
      </c>
      <c r="G32" s="44" t="s">
        <v>133</v>
      </c>
      <c r="H32" s="21">
        <v>2001.0</v>
      </c>
    </row>
    <row r="33" ht="31.5" customHeight="1">
      <c r="A33" s="53">
        <v>3.0</v>
      </c>
      <c r="B33" s="54" t="s">
        <v>134</v>
      </c>
      <c r="C33" s="55">
        <v>7600.0</v>
      </c>
      <c r="D33" s="55">
        <v>9200.0</v>
      </c>
      <c r="E33" s="56">
        <f t="shared" si="6"/>
        <v>8400</v>
      </c>
      <c r="F33" s="57" t="s">
        <v>135</v>
      </c>
      <c r="G33" s="58" t="s">
        <v>136</v>
      </c>
      <c r="H33" s="53">
        <v>2024.0</v>
      </c>
      <c r="I33" s="59" t="s">
        <v>137</v>
      </c>
    </row>
    <row r="34" ht="19.5" customHeight="1">
      <c r="A34" s="48"/>
      <c r="B34" s="49" t="s">
        <v>111</v>
      </c>
      <c r="C34" s="50">
        <f t="shared" ref="C34:D34" si="7">IFERROR(ROUND(AVERAGE(C31:C33),0),"")</f>
        <v>3048</v>
      </c>
      <c r="D34" s="50">
        <f t="shared" si="7"/>
        <v>3981</v>
      </c>
      <c r="E34" s="50">
        <f t="shared" si="6"/>
        <v>3515</v>
      </c>
      <c r="F34" s="48"/>
      <c r="G34" s="48"/>
      <c r="H34" s="48"/>
    </row>
    <row r="35" ht="15.75" customHeight="1"/>
    <row r="36" ht="18.0" customHeight="1">
      <c r="A36" s="40" t="s">
        <v>138</v>
      </c>
      <c r="B36" s="2"/>
      <c r="C36" s="2"/>
      <c r="D36" s="2"/>
      <c r="E36" s="2"/>
      <c r="F36" s="2"/>
      <c r="G36" s="2"/>
      <c r="H36" s="3"/>
    </row>
    <row r="37" ht="25.5" customHeight="1">
      <c r="A37" s="18" t="s">
        <v>17</v>
      </c>
      <c r="B37" s="18" t="s">
        <v>87</v>
      </c>
      <c r="C37" s="18" t="s">
        <v>88</v>
      </c>
      <c r="D37" s="18" t="s">
        <v>89</v>
      </c>
      <c r="E37" s="18" t="s">
        <v>90</v>
      </c>
      <c r="F37" s="18" t="s">
        <v>91</v>
      </c>
      <c r="G37" s="18" t="s">
        <v>92</v>
      </c>
      <c r="H37" s="18" t="s">
        <v>93</v>
      </c>
    </row>
    <row r="38" ht="31.5" customHeight="1">
      <c r="A38" s="21">
        <v>1.0</v>
      </c>
      <c r="B38" s="27" t="s">
        <v>139</v>
      </c>
      <c r="C38" s="41">
        <v>533.0</v>
      </c>
      <c r="D38" s="41">
        <v>533.0</v>
      </c>
      <c r="E38" s="42">
        <f t="shared" ref="E38:E43" si="8">IFERROR(ROUND((C38+D38)/2,0),"")</f>
        <v>533</v>
      </c>
      <c r="F38" s="43" t="s">
        <v>140</v>
      </c>
      <c r="G38" s="44" t="s">
        <v>141</v>
      </c>
      <c r="H38" s="21">
        <v>2026.0</v>
      </c>
    </row>
    <row r="39" ht="31.5" customHeight="1">
      <c r="A39" s="21">
        <v>2.0</v>
      </c>
      <c r="B39" s="27" t="s">
        <v>142</v>
      </c>
      <c r="C39" s="41">
        <v>1092.0</v>
      </c>
      <c r="D39" s="41">
        <v>1703.0</v>
      </c>
      <c r="E39" s="42">
        <f t="shared" si="8"/>
        <v>1398</v>
      </c>
      <c r="F39" s="43" t="s">
        <v>140</v>
      </c>
      <c r="G39" s="44" t="s">
        <v>143</v>
      </c>
      <c r="H39" s="21">
        <v>2026.0</v>
      </c>
    </row>
    <row r="40" ht="31.5" customHeight="1">
      <c r="A40" s="21">
        <v>3.0</v>
      </c>
      <c r="B40" s="27" t="s">
        <v>144</v>
      </c>
      <c r="C40" s="41">
        <v>58.0</v>
      </c>
      <c r="D40" s="41">
        <v>151.0</v>
      </c>
      <c r="E40" s="42">
        <f t="shared" si="8"/>
        <v>105</v>
      </c>
      <c r="F40" s="52" t="s">
        <v>145</v>
      </c>
      <c r="G40" s="44" t="s">
        <v>146</v>
      </c>
      <c r="H40" s="21">
        <v>2025.0</v>
      </c>
    </row>
    <row r="41" ht="31.5" customHeight="1">
      <c r="A41" s="21">
        <v>4.0</v>
      </c>
      <c r="B41" s="27" t="s">
        <v>147</v>
      </c>
      <c r="C41" s="41">
        <v>105.0</v>
      </c>
      <c r="D41" s="41">
        <v>256.0</v>
      </c>
      <c r="E41" s="42">
        <f t="shared" si="8"/>
        <v>181</v>
      </c>
      <c r="F41" s="52" t="s">
        <v>145</v>
      </c>
      <c r="G41" s="44" t="s">
        <v>148</v>
      </c>
      <c r="H41" s="21">
        <v>2025.0</v>
      </c>
    </row>
    <row r="42" ht="31.5" customHeight="1">
      <c r="A42" s="21">
        <v>5.0</v>
      </c>
      <c r="B42" s="27" t="s">
        <v>149</v>
      </c>
      <c r="C42" s="41">
        <v>50.0</v>
      </c>
      <c r="D42" s="41">
        <v>80.0</v>
      </c>
      <c r="E42" s="42">
        <f t="shared" si="8"/>
        <v>65</v>
      </c>
      <c r="F42" s="43" t="s">
        <v>150</v>
      </c>
      <c r="G42" s="44" t="s">
        <v>151</v>
      </c>
      <c r="H42" s="21">
        <v>2015.0</v>
      </c>
    </row>
    <row r="43" ht="19.5" customHeight="1">
      <c r="A43" s="48"/>
      <c r="B43" s="49" t="s">
        <v>111</v>
      </c>
      <c r="C43" s="50">
        <f t="shared" ref="C43:D43" si="9">IFERROR(ROUND(AVERAGE(C38:C42),0),"")</f>
        <v>368</v>
      </c>
      <c r="D43" s="50">
        <f t="shared" si="9"/>
        <v>545</v>
      </c>
      <c r="E43" s="50">
        <f t="shared" si="8"/>
        <v>457</v>
      </c>
      <c r="F43" s="48"/>
      <c r="G43" s="48"/>
      <c r="H43" s="48"/>
    </row>
    <row r="44" ht="15.75" customHeight="1"/>
    <row r="45" ht="18.0" customHeight="1">
      <c r="A45" s="40" t="s">
        <v>152</v>
      </c>
      <c r="B45" s="2"/>
      <c r="C45" s="2"/>
      <c r="D45" s="2"/>
      <c r="E45" s="2"/>
      <c r="F45" s="2"/>
      <c r="G45" s="2"/>
      <c r="H45" s="3"/>
    </row>
    <row r="46" ht="25.5" customHeight="1">
      <c r="A46" s="18" t="s">
        <v>17</v>
      </c>
      <c r="B46" s="18" t="s">
        <v>87</v>
      </c>
      <c r="C46" s="18" t="s">
        <v>88</v>
      </c>
      <c r="D46" s="18" t="s">
        <v>89</v>
      </c>
      <c r="E46" s="18" t="s">
        <v>90</v>
      </c>
      <c r="F46" s="18" t="s">
        <v>91</v>
      </c>
      <c r="G46" s="18" t="s">
        <v>92</v>
      </c>
      <c r="H46" s="18" t="s">
        <v>93</v>
      </c>
    </row>
    <row r="47" ht="31.5" customHeight="1">
      <c r="A47" s="21">
        <v>1.0</v>
      </c>
      <c r="B47" s="27" t="s">
        <v>153</v>
      </c>
      <c r="C47" s="41">
        <v>500.0</v>
      </c>
      <c r="D47" s="41">
        <v>2500.0</v>
      </c>
      <c r="E47" s="42">
        <f t="shared" ref="E47:E49" si="10">IFERROR(ROUND((C47+D47)/2,0),"")</f>
        <v>1500</v>
      </c>
      <c r="F47" s="43" t="s">
        <v>154</v>
      </c>
      <c r="G47" s="44" t="s">
        <v>155</v>
      </c>
      <c r="H47" s="21">
        <v>2006.0</v>
      </c>
    </row>
    <row r="48" ht="31.5" customHeight="1">
      <c r="A48" s="21">
        <v>2.0</v>
      </c>
      <c r="B48" s="27" t="s">
        <v>156</v>
      </c>
      <c r="C48" s="41">
        <v>40000.0</v>
      </c>
      <c r="D48" s="41">
        <v>50000.0</v>
      </c>
      <c r="E48" s="42">
        <f t="shared" si="10"/>
        <v>45000</v>
      </c>
      <c r="F48" s="43" t="s">
        <v>157</v>
      </c>
      <c r="G48" s="44" t="s">
        <v>158</v>
      </c>
      <c r="H48" s="21">
        <v>2006.0</v>
      </c>
    </row>
    <row r="49" ht="19.5" customHeight="1">
      <c r="A49" s="48"/>
      <c r="B49" s="49" t="s">
        <v>111</v>
      </c>
      <c r="C49" s="50">
        <f t="shared" ref="C49:D49" si="11">IFERROR(ROUND(AVERAGE(C47:C48),0),"")</f>
        <v>20250</v>
      </c>
      <c r="D49" s="50">
        <f t="shared" si="11"/>
        <v>26250</v>
      </c>
      <c r="E49" s="50">
        <f t="shared" si="10"/>
        <v>23250</v>
      </c>
      <c r="F49" s="48"/>
      <c r="G49" s="48"/>
      <c r="H49" s="48"/>
    </row>
    <row r="50" ht="15.75" customHeight="1"/>
    <row r="51" ht="18.0" customHeight="1">
      <c r="A51" s="40" t="s">
        <v>159</v>
      </c>
      <c r="B51" s="2"/>
      <c r="C51" s="2"/>
      <c r="D51" s="2"/>
      <c r="E51" s="2"/>
      <c r="F51" s="2"/>
      <c r="G51" s="2"/>
      <c r="H51" s="3"/>
    </row>
    <row r="52" ht="25.5" customHeight="1">
      <c r="A52" s="18" t="s">
        <v>17</v>
      </c>
      <c r="B52" s="18" t="s">
        <v>87</v>
      </c>
      <c r="C52" s="18" t="s">
        <v>88</v>
      </c>
      <c r="D52" s="18" t="s">
        <v>89</v>
      </c>
      <c r="E52" s="18" t="s">
        <v>90</v>
      </c>
      <c r="F52" s="18" t="s">
        <v>91</v>
      </c>
      <c r="G52" s="18" t="s">
        <v>92</v>
      </c>
      <c r="H52" s="18" t="s">
        <v>93</v>
      </c>
    </row>
    <row r="53" ht="31.5" customHeight="1">
      <c r="A53" s="21">
        <v>1.0</v>
      </c>
      <c r="B53" s="27" t="s">
        <v>160</v>
      </c>
      <c r="C53" s="41">
        <v>90000.0</v>
      </c>
      <c r="D53" s="41">
        <v>200000.0</v>
      </c>
      <c r="E53" s="42">
        <f t="shared" ref="E53:E55" si="12">IFERROR(ROUND((C53+D53)/2,0),"")</f>
        <v>145000</v>
      </c>
      <c r="F53" s="52" t="s">
        <v>161</v>
      </c>
      <c r="G53" s="44" t="s">
        <v>162</v>
      </c>
      <c r="H53" s="21">
        <v>2023.0</v>
      </c>
    </row>
    <row r="54" ht="31.5" customHeight="1">
      <c r="A54" s="21">
        <v>2.0</v>
      </c>
      <c r="B54" s="27" t="s">
        <v>163</v>
      </c>
      <c r="C54" s="41">
        <v>50000.0</v>
      </c>
      <c r="D54" s="41">
        <v>250000.0</v>
      </c>
      <c r="E54" s="42">
        <f t="shared" si="12"/>
        <v>150000</v>
      </c>
      <c r="F54" s="60" t="s">
        <v>164</v>
      </c>
      <c r="G54" s="61" t="s">
        <v>165</v>
      </c>
      <c r="H54" s="62">
        <v>2022.0</v>
      </c>
    </row>
    <row r="55" ht="19.5" customHeight="1">
      <c r="A55" s="48"/>
      <c r="B55" s="49" t="s">
        <v>111</v>
      </c>
      <c r="C55" s="50">
        <f t="shared" ref="C55:D55" si="13">IFERROR(ROUND(AVERAGE(C53:C54),0),"")</f>
        <v>70000</v>
      </c>
      <c r="D55" s="50">
        <f t="shared" si="13"/>
        <v>225000</v>
      </c>
      <c r="E55" s="50">
        <f t="shared" si="12"/>
        <v>147500</v>
      </c>
      <c r="F55" s="48"/>
      <c r="G55" s="48"/>
      <c r="H55" s="48"/>
    </row>
    <row r="56" ht="15.75" customHeight="1"/>
    <row r="57" ht="18.0" customHeight="1">
      <c r="A57" s="40" t="s">
        <v>166</v>
      </c>
      <c r="B57" s="2"/>
      <c r="C57" s="2"/>
      <c r="D57" s="2"/>
      <c r="E57" s="2"/>
      <c r="F57" s="2"/>
      <c r="G57" s="2"/>
      <c r="H57" s="3"/>
    </row>
    <row r="58" ht="25.5" customHeight="1">
      <c r="A58" s="18" t="s">
        <v>17</v>
      </c>
      <c r="B58" s="18" t="s">
        <v>87</v>
      </c>
      <c r="C58" s="18" t="s">
        <v>88</v>
      </c>
      <c r="D58" s="18" t="s">
        <v>89</v>
      </c>
      <c r="E58" s="18" t="s">
        <v>90</v>
      </c>
      <c r="F58" s="18" t="s">
        <v>91</v>
      </c>
      <c r="G58" s="18" t="s">
        <v>92</v>
      </c>
      <c r="H58" s="18" t="s">
        <v>93</v>
      </c>
    </row>
    <row r="59" ht="31.5" customHeight="1">
      <c r="A59" s="21">
        <v>1.0</v>
      </c>
      <c r="B59" s="22" t="s">
        <v>167</v>
      </c>
      <c r="C59" s="45">
        <v>74254.0</v>
      </c>
      <c r="D59" s="45">
        <v>74254.0</v>
      </c>
      <c r="E59" s="45">
        <v>74254.0</v>
      </c>
      <c r="F59" s="63" t="s">
        <v>168</v>
      </c>
      <c r="G59" s="44"/>
      <c r="H59" s="21">
        <v>2023.0</v>
      </c>
    </row>
    <row r="60" ht="31.5" customHeight="1">
      <c r="A60" s="26">
        <v>2.0</v>
      </c>
      <c r="B60" s="22" t="s">
        <v>169</v>
      </c>
      <c r="C60" s="45">
        <v>31135.0</v>
      </c>
      <c r="D60" s="45">
        <v>31135.0</v>
      </c>
      <c r="E60" s="45">
        <v>31135.0</v>
      </c>
      <c r="F60" s="63" t="s">
        <v>168</v>
      </c>
      <c r="G60" s="44"/>
      <c r="H60" s="21"/>
    </row>
    <row r="61" ht="31.5" customHeight="1">
      <c r="A61" s="26">
        <v>3.0</v>
      </c>
      <c r="B61" s="22" t="s">
        <v>170</v>
      </c>
      <c r="C61" s="45">
        <v>41579.0</v>
      </c>
      <c r="D61" s="45">
        <v>41579.0</v>
      </c>
      <c r="E61" s="45">
        <v>41579.0</v>
      </c>
      <c r="F61" s="63" t="s">
        <v>168</v>
      </c>
      <c r="G61" s="44"/>
      <c r="H61" s="21"/>
    </row>
    <row r="62" ht="31.5" customHeight="1">
      <c r="A62" s="26">
        <v>4.0</v>
      </c>
      <c r="B62" s="22" t="s">
        <v>171</v>
      </c>
      <c r="C62" s="45">
        <v>38997.0</v>
      </c>
      <c r="D62" s="45">
        <v>38997.0</v>
      </c>
      <c r="E62" s="45">
        <v>38997.0</v>
      </c>
      <c r="F62" s="63" t="s">
        <v>168</v>
      </c>
      <c r="G62" s="44"/>
      <c r="H62" s="21"/>
    </row>
    <row r="63" ht="31.5" customHeight="1">
      <c r="A63" s="26">
        <v>5.0</v>
      </c>
      <c r="B63" s="22" t="s">
        <v>172</v>
      </c>
      <c r="C63" s="45">
        <v>46900.0</v>
      </c>
      <c r="D63" s="45">
        <v>46900.0</v>
      </c>
      <c r="E63" s="45">
        <v>46900.0</v>
      </c>
      <c r="F63" s="64" t="s">
        <v>173</v>
      </c>
      <c r="G63" s="44"/>
      <c r="H63" s="21"/>
    </row>
    <row r="64" ht="19.5" customHeight="1">
      <c r="A64" s="48"/>
      <c r="B64" s="49" t="s">
        <v>111</v>
      </c>
      <c r="C64" s="50">
        <f t="shared" ref="C64:E64" si="14">IFERROR(ROUND(AVERAGE(C59:C63),0),"")</f>
        <v>46573</v>
      </c>
      <c r="D64" s="50">
        <f t="shared" si="14"/>
        <v>46573</v>
      </c>
      <c r="E64" s="50">
        <f t="shared" si="14"/>
        <v>46573</v>
      </c>
      <c r="F64" s="48"/>
      <c r="G64" s="48"/>
      <c r="H64" s="48"/>
    </row>
    <row r="65" ht="15.75" customHeight="1"/>
    <row r="66" ht="19.5" customHeight="1">
      <c r="A66" s="17" t="s">
        <v>38</v>
      </c>
      <c r="B66" s="2"/>
      <c r="C66" s="2"/>
      <c r="D66" s="2"/>
      <c r="E66" s="2"/>
      <c r="F66" s="2"/>
      <c r="G66" s="2"/>
      <c r="H66" s="3"/>
    </row>
    <row r="67" ht="18.0" customHeight="1">
      <c r="A67" s="40" t="s">
        <v>174</v>
      </c>
      <c r="B67" s="2"/>
      <c r="C67" s="2"/>
      <c r="D67" s="2"/>
      <c r="E67" s="2"/>
      <c r="F67" s="2"/>
      <c r="G67" s="2"/>
      <c r="H67" s="3"/>
    </row>
    <row r="68" ht="25.5" customHeight="1">
      <c r="A68" s="18" t="s">
        <v>17</v>
      </c>
      <c r="B68" s="18" t="s">
        <v>87</v>
      </c>
      <c r="C68" s="18" t="s">
        <v>88</v>
      </c>
      <c r="D68" s="18" t="s">
        <v>89</v>
      </c>
      <c r="E68" s="18" t="s">
        <v>90</v>
      </c>
      <c r="F68" s="18" t="s">
        <v>91</v>
      </c>
      <c r="G68" s="18" t="s">
        <v>92</v>
      </c>
      <c r="H68" s="18" t="s">
        <v>93</v>
      </c>
    </row>
    <row r="69" ht="15.75" customHeight="1">
      <c r="A69" s="22">
        <v>1.0</v>
      </c>
      <c r="B69" s="22" t="s">
        <v>175</v>
      </c>
      <c r="C69" s="65">
        <v>92712.0</v>
      </c>
      <c r="D69" s="65">
        <v>92712.0</v>
      </c>
      <c r="E69" s="65">
        <v>92712.0</v>
      </c>
      <c r="F69" s="66" t="s">
        <v>176</v>
      </c>
      <c r="G69" s="27"/>
      <c r="H69" s="27"/>
      <c r="I69" s="27"/>
      <c r="J69" s="27"/>
      <c r="K69" s="27"/>
      <c r="L69" s="27"/>
      <c r="M69" s="27"/>
      <c r="N69" s="27"/>
      <c r="O69" s="27"/>
      <c r="P69" s="27"/>
      <c r="Q69" s="27"/>
      <c r="R69" s="27"/>
      <c r="S69" s="27"/>
      <c r="T69" s="27"/>
      <c r="U69" s="27"/>
      <c r="V69" s="27"/>
      <c r="W69" s="27"/>
      <c r="X69" s="27"/>
      <c r="Y69" s="27"/>
      <c r="Z69" s="27"/>
    </row>
    <row r="70" ht="15.75" customHeight="1">
      <c r="A70" s="22">
        <v>2.0</v>
      </c>
      <c r="B70" s="22" t="s">
        <v>177</v>
      </c>
      <c r="C70" s="65">
        <v>109653.0</v>
      </c>
      <c r="D70" s="65">
        <v>109653.0</v>
      </c>
      <c r="E70" s="65">
        <v>109653.0</v>
      </c>
      <c r="F70" s="66" t="s">
        <v>176</v>
      </c>
      <c r="G70" s="27"/>
      <c r="H70" s="27"/>
      <c r="I70" s="67"/>
      <c r="J70" s="67"/>
      <c r="K70" s="67"/>
      <c r="L70" s="67"/>
      <c r="M70" s="67"/>
      <c r="N70" s="67"/>
      <c r="O70" s="67"/>
      <c r="P70" s="67"/>
      <c r="Q70" s="67"/>
      <c r="R70" s="67"/>
      <c r="S70" s="67"/>
      <c r="T70" s="67"/>
      <c r="U70" s="67"/>
      <c r="V70" s="67"/>
      <c r="W70" s="67"/>
      <c r="X70" s="67"/>
      <c r="Y70" s="67"/>
      <c r="Z70" s="67"/>
    </row>
    <row r="71" ht="15.75" customHeight="1">
      <c r="A71" s="22">
        <v>3.0</v>
      </c>
      <c r="B71" s="22" t="s">
        <v>178</v>
      </c>
      <c r="C71" s="65">
        <v>187041.0</v>
      </c>
      <c r="D71" s="65">
        <v>187041.0</v>
      </c>
      <c r="E71" s="65">
        <v>187041.0</v>
      </c>
      <c r="F71" s="66" t="s">
        <v>176</v>
      </c>
      <c r="G71" s="27"/>
      <c r="H71" s="27"/>
      <c r="I71" s="67"/>
      <c r="J71" s="67"/>
      <c r="K71" s="67"/>
      <c r="L71" s="67"/>
      <c r="M71" s="67"/>
      <c r="N71" s="67"/>
      <c r="O71" s="67"/>
      <c r="P71" s="67"/>
      <c r="Q71" s="67"/>
      <c r="R71" s="67"/>
      <c r="S71" s="67"/>
      <c r="T71" s="67"/>
      <c r="U71" s="67"/>
      <c r="V71" s="67"/>
      <c r="W71" s="67"/>
      <c r="X71" s="67"/>
      <c r="Y71" s="67"/>
      <c r="Z71" s="67"/>
    </row>
    <row r="72" ht="15.75" customHeight="1">
      <c r="A72" s="22">
        <v>4.0</v>
      </c>
      <c r="B72" s="22" t="s">
        <v>179</v>
      </c>
      <c r="C72" s="65">
        <v>139378.0</v>
      </c>
      <c r="D72" s="65">
        <v>139378.0</v>
      </c>
      <c r="E72" s="65">
        <v>139378.0</v>
      </c>
      <c r="F72" s="66" t="s">
        <v>176</v>
      </c>
      <c r="G72" s="27"/>
      <c r="H72" s="27"/>
      <c r="I72" s="67"/>
      <c r="J72" s="67"/>
      <c r="K72" s="67"/>
      <c r="L72" s="67"/>
      <c r="M72" s="67"/>
      <c r="N72" s="67"/>
      <c r="O72" s="67"/>
      <c r="P72" s="67"/>
      <c r="Q72" s="67"/>
      <c r="R72" s="67"/>
      <c r="S72" s="67"/>
      <c r="T72" s="67"/>
      <c r="U72" s="67"/>
      <c r="V72" s="67"/>
      <c r="W72" s="67"/>
      <c r="X72" s="67"/>
      <c r="Y72" s="67"/>
      <c r="Z72" s="67"/>
    </row>
    <row r="73" ht="15.75" customHeight="1">
      <c r="A73" s="22">
        <v>5.0</v>
      </c>
      <c r="B73" s="22" t="s">
        <v>180</v>
      </c>
      <c r="C73" s="65">
        <v>3300.0</v>
      </c>
      <c r="D73" s="65">
        <v>5000.0</v>
      </c>
      <c r="E73" s="65">
        <f t="shared" ref="E73:E74" si="15">(C73+D73)/2</f>
        <v>4150</v>
      </c>
      <c r="F73" s="66" t="s">
        <v>181</v>
      </c>
      <c r="G73" s="27"/>
      <c r="H73" s="27"/>
      <c r="I73" s="67"/>
      <c r="J73" s="67"/>
      <c r="K73" s="67"/>
      <c r="L73" s="67"/>
      <c r="M73" s="67"/>
      <c r="N73" s="67"/>
      <c r="O73" s="67"/>
      <c r="P73" s="67"/>
      <c r="Q73" s="67"/>
      <c r="R73" s="67"/>
      <c r="S73" s="67"/>
      <c r="T73" s="67"/>
      <c r="U73" s="67"/>
      <c r="V73" s="67"/>
      <c r="W73" s="67"/>
      <c r="X73" s="67"/>
      <c r="Y73" s="67"/>
      <c r="Z73" s="67"/>
    </row>
    <row r="74" ht="15.75" customHeight="1">
      <c r="A74" s="22">
        <v>6.0</v>
      </c>
      <c r="B74" s="22" t="s">
        <v>182</v>
      </c>
      <c r="C74" s="65">
        <v>3000.0</v>
      </c>
      <c r="D74" s="65">
        <v>4000.0</v>
      </c>
      <c r="E74" s="65">
        <f t="shared" si="15"/>
        <v>3500</v>
      </c>
      <c r="F74" s="66" t="s">
        <v>183</v>
      </c>
      <c r="G74" s="27"/>
      <c r="H74" s="27"/>
      <c r="I74" s="67"/>
      <c r="J74" s="67"/>
      <c r="K74" s="67"/>
      <c r="L74" s="67"/>
      <c r="M74" s="67"/>
      <c r="N74" s="67"/>
      <c r="O74" s="67"/>
      <c r="P74" s="67"/>
      <c r="Q74" s="67"/>
      <c r="R74" s="67"/>
      <c r="S74" s="67"/>
      <c r="T74" s="67"/>
      <c r="U74" s="67"/>
      <c r="V74" s="67"/>
      <c r="W74" s="67"/>
      <c r="X74" s="67"/>
      <c r="Y74" s="67"/>
      <c r="Z74" s="67"/>
    </row>
    <row r="75" ht="19.5" customHeight="1">
      <c r="A75" s="48"/>
      <c r="B75" s="49" t="s">
        <v>111</v>
      </c>
      <c r="C75" s="50">
        <f t="shared" ref="C75:E75" si="16">IFERROR(ROUND(AVERAGE(C69:C74),0),"")</f>
        <v>89181</v>
      </c>
      <c r="D75" s="50">
        <f t="shared" si="16"/>
        <v>89631</v>
      </c>
      <c r="E75" s="50">
        <f t="shared" si="16"/>
        <v>89406</v>
      </c>
      <c r="F75" s="48"/>
      <c r="G75" s="48"/>
      <c r="H75" s="48"/>
    </row>
    <row r="76" ht="15.75" customHeight="1"/>
    <row r="77" ht="18.0" customHeight="1">
      <c r="A77" s="40" t="s">
        <v>184</v>
      </c>
      <c r="B77" s="2"/>
      <c r="C77" s="2"/>
      <c r="D77" s="2"/>
      <c r="E77" s="2"/>
      <c r="F77" s="2"/>
      <c r="G77" s="2"/>
      <c r="H77" s="3"/>
    </row>
    <row r="78" ht="25.5" customHeight="1">
      <c r="A78" s="18" t="s">
        <v>17</v>
      </c>
      <c r="B78" s="18" t="s">
        <v>87</v>
      </c>
      <c r="C78" s="18" t="s">
        <v>88</v>
      </c>
      <c r="D78" s="18" t="s">
        <v>89</v>
      </c>
      <c r="E78" s="18" t="s">
        <v>90</v>
      </c>
      <c r="F78" s="18" t="s">
        <v>91</v>
      </c>
      <c r="G78" s="18" t="s">
        <v>92</v>
      </c>
      <c r="H78" s="18" t="s">
        <v>93</v>
      </c>
    </row>
    <row r="79" ht="31.5" customHeight="1">
      <c r="A79" s="21">
        <v>1.0</v>
      </c>
      <c r="B79" s="27" t="s">
        <v>185</v>
      </c>
      <c r="C79" s="41">
        <v>13000.0</v>
      </c>
      <c r="D79" s="41">
        <v>14000.0</v>
      </c>
      <c r="E79" s="42">
        <f t="shared" ref="E79:E81" si="17">IFERROR(ROUND((C79+D79)/2,0),"")</f>
        <v>13500</v>
      </c>
      <c r="F79" s="60" t="s">
        <v>186</v>
      </c>
      <c r="G79" s="61" t="s">
        <v>187</v>
      </c>
      <c r="H79" s="21">
        <v>2005.0</v>
      </c>
    </row>
    <row r="80" ht="31.5" customHeight="1">
      <c r="A80" s="21">
        <v>2.0</v>
      </c>
      <c r="B80" s="27" t="s">
        <v>188</v>
      </c>
      <c r="C80" s="41">
        <v>6000.0</v>
      </c>
      <c r="D80" s="41">
        <v>9000.0</v>
      </c>
      <c r="E80" s="42">
        <f t="shared" si="17"/>
        <v>7500</v>
      </c>
      <c r="F80" s="60" t="s">
        <v>189</v>
      </c>
      <c r="G80" s="61" t="s">
        <v>190</v>
      </c>
      <c r="H80" s="21">
        <v>2005.0</v>
      </c>
    </row>
    <row r="81" ht="31.5" customHeight="1">
      <c r="A81" s="21"/>
      <c r="B81" s="22" t="s">
        <v>191</v>
      </c>
      <c r="C81" s="45">
        <v>127.0</v>
      </c>
      <c r="D81" s="45">
        <v>127.0</v>
      </c>
      <c r="E81" s="42">
        <f t="shared" si="17"/>
        <v>127</v>
      </c>
      <c r="F81" s="68" t="s">
        <v>107</v>
      </c>
      <c r="G81" s="61"/>
      <c r="H81" s="21"/>
    </row>
    <row r="82" ht="19.5" customHeight="1">
      <c r="A82" s="48"/>
      <c r="B82" s="49" t="s">
        <v>111</v>
      </c>
      <c r="C82" s="50">
        <f t="shared" ref="C82:E82" si="18">IFERROR(ROUND(AVERAGE(C79:C81),0),"")</f>
        <v>6376</v>
      </c>
      <c r="D82" s="50">
        <f t="shared" si="18"/>
        <v>7709</v>
      </c>
      <c r="E82" s="50">
        <f t="shared" si="18"/>
        <v>7042</v>
      </c>
      <c r="F82" s="48"/>
      <c r="G82" s="48"/>
      <c r="H82" s="48"/>
    </row>
    <row r="83" ht="15.75" customHeight="1"/>
    <row r="84" ht="18.0" customHeight="1">
      <c r="A84" s="40" t="s">
        <v>192</v>
      </c>
      <c r="B84" s="2"/>
      <c r="C84" s="2"/>
      <c r="D84" s="2"/>
      <c r="E84" s="2"/>
      <c r="F84" s="2"/>
      <c r="G84" s="2"/>
      <c r="H84" s="3"/>
    </row>
    <row r="85" ht="25.5" customHeight="1">
      <c r="A85" s="18" t="s">
        <v>17</v>
      </c>
      <c r="B85" s="18" t="s">
        <v>87</v>
      </c>
      <c r="C85" s="18" t="s">
        <v>88</v>
      </c>
      <c r="D85" s="18" t="s">
        <v>89</v>
      </c>
      <c r="E85" s="18" t="s">
        <v>90</v>
      </c>
      <c r="F85" s="18" t="s">
        <v>91</v>
      </c>
      <c r="G85" s="18" t="s">
        <v>92</v>
      </c>
      <c r="H85" s="18" t="s">
        <v>93</v>
      </c>
    </row>
    <row r="86" ht="31.5" customHeight="1">
      <c r="A86" s="21">
        <v>1.0</v>
      </c>
      <c r="B86" s="27" t="s">
        <v>193</v>
      </c>
      <c r="C86" s="41">
        <v>1000.0</v>
      </c>
      <c r="D86" s="41">
        <v>3000.0</v>
      </c>
      <c r="E86" s="42">
        <f t="shared" ref="E86:E88" si="19">IFERROR(ROUND((C86+D86)/2,0),"")</f>
        <v>2000</v>
      </c>
      <c r="F86" s="52" t="s">
        <v>130</v>
      </c>
      <c r="G86" s="44" t="s">
        <v>194</v>
      </c>
      <c r="H86" s="21">
        <v>2024.0</v>
      </c>
    </row>
    <row r="87" ht="31.5" customHeight="1">
      <c r="A87" s="21">
        <v>2.0</v>
      </c>
      <c r="B87" s="27" t="s">
        <v>195</v>
      </c>
      <c r="C87" s="41">
        <v>2000.0</v>
      </c>
      <c r="D87" s="41">
        <v>3000.0</v>
      </c>
      <c r="E87" s="42">
        <f t="shared" si="19"/>
        <v>2500</v>
      </c>
      <c r="F87" s="52" t="s">
        <v>130</v>
      </c>
      <c r="G87" s="44" t="s">
        <v>196</v>
      </c>
      <c r="H87" s="21">
        <v>2024.0</v>
      </c>
    </row>
    <row r="88" ht="31.5" customHeight="1">
      <c r="A88" s="26">
        <v>3.0</v>
      </c>
      <c r="B88" s="22" t="s">
        <v>197</v>
      </c>
      <c r="C88" s="45">
        <v>340.09</v>
      </c>
      <c r="D88" s="45">
        <v>657.51</v>
      </c>
      <c r="E88" s="42">
        <f t="shared" si="19"/>
        <v>499</v>
      </c>
      <c r="F88" s="63" t="s">
        <v>198</v>
      </c>
      <c r="G88" s="44"/>
      <c r="H88" s="21"/>
    </row>
    <row r="89" ht="19.5" customHeight="1">
      <c r="A89" s="48"/>
      <c r="B89" s="49" t="s">
        <v>111</v>
      </c>
      <c r="C89" s="50">
        <f t="shared" ref="C89:E89" si="20">IFERROR(ROUND(AVERAGE(C86:C88),0),"")</f>
        <v>1113</v>
      </c>
      <c r="D89" s="50">
        <f t="shared" si="20"/>
        <v>2219</v>
      </c>
      <c r="E89" s="50">
        <f t="shared" si="20"/>
        <v>1666</v>
      </c>
      <c r="F89" s="48"/>
      <c r="G89" s="48"/>
      <c r="H89" s="48"/>
    </row>
    <row r="90" ht="15.75" customHeight="1"/>
    <row r="91" ht="18.0" customHeight="1">
      <c r="A91" s="40" t="s">
        <v>199</v>
      </c>
      <c r="B91" s="2"/>
      <c r="C91" s="2"/>
      <c r="D91" s="2"/>
      <c r="E91" s="2"/>
      <c r="F91" s="2"/>
      <c r="G91" s="2"/>
      <c r="H91" s="3"/>
    </row>
    <row r="92" ht="25.5" customHeight="1">
      <c r="A92" s="18" t="s">
        <v>17</v>
      </c>
      <c r="B92" s="18" t="s">
        <v>87</v>
      </c>
      <c r="C92" s="18" t="s">
        <v>88</v>
      </c>
      <c r="D92" s="18" t="s">
        <v>89</v>
      </c>
      <c r="E92" s="18" t="s">
        <v>90</v>
      </c>
      <c r="F92" s="18" t="s">
        <v>91</v>
      </c>
      <c r="G92" s="18" t="s">
        <v>92</v>
      </c>
      <c r="H92" s="18" t="s">
        <v>93</v>
      </c>
    </row>
    <row r="93" ht="31.5" customHeight="1">
      <c r="A93" s="21">
        <v>1.0</v>
      </c>
      <c r="B93" s="27" t="s">
        <v>200</v>
      </c>
      <c r="C93" s="41">
        <v>300.0</v>
      </c>
      <c r="D93" s="41">
        <v>600.0</v>
      </c>
      <c r="E93" s="42">
        <f t="shared" ref="E93:E94" si="22">IFERROR(ROUND((C93+D93)/2,0),"")</f>
        <v>450</v>
      </c>
      <c r="F93" s="52" t="s">
        <v>130</v>
      </c>
      <c r="G93" s="44" t="s">
        <v>201</v>
      </c>
      <c r="H93" s="21">
        <v>2024.0</v>
      </c>
    </row>
    <row r="94" ht="19.5" customHeight="1">
      <c r="A94" s="48"/>
      <c r="B94" s="49" t="s">
        <v>111</v>
      </c>
      <c r="C94" s="50">
        <f t="shared" ref="C94:D94" si="21">IFERROR(ROUND(AVERAGE(C93),0),"")</f>
        <v>300</v>
      </c>
      <c r="D94" s="50">
        <f t="shared" si="21"/>
        <v>600</v>
      </c>
      <c r="E94" s="50">
        <f t="shared" si="22"/>
        <v>450</v>
      </c>
      <c r="F94" s="48"/>
      <c r="G94" s="48"/>
      <c r="H94" s="48"/>
    </row>
    <row r="95" ht="15.75" customHeight="1"/>
    <row r="96" ht="18.0" customHeight="1">
      <c r="A96" s="40" t="s">
        <v>202</v>
      </c>
      <c r="B96" s="2"/>
      <c r="C96" s="2"/>
      <c r="D96" s="2"/>
      <c r="E96" s="2"/>
      <c r="F96" s="2"/>
      <c r="G96" s="2"/>
      <c r="H96" s="3"/>
    </row>
    <row r="97" ht="25.5" customHeight="1">
      <c r="A97" s="18" t="s">
        <v>17</v>
      </c>
      <c r="B97" s="18" t="s">
        <v>87</v>
      </c>
      <c r="C97" s="18" t="s">
        <v>88</v>
      </c>
      <c r="D97" s="18" t="s">
        <v>89</v>
      </c>
      <c r="E97" s="18" t="s">
        <v>90</v>
      </c>
      <c r="F97" s="18" t="s">
        <v>91</v>
      </c>
      <c r="G97" s="18" t="s">
        <v>92</v>
      </c>
      <c r="H97" s="18" t="s">
        <v>93</v>
      </c>
    </row>
    <row r="98" ht="31.5" customHeight="1">
      <c r="A98" s="21">
        <v>1.0</v>
      </c>
      <c r="B98" s="27" t="s">
        <v>203</v>
      </c>
      <c r="C98" s="41">
        <v>400.0</v>
      </c>
      <c r="D98" s="41">
        <v>1600.0</v>
      </c>
      <c r="E98" s="42">
        <f t="shared" ref="E98:E100" si="23">IFERROR(ROUND((C98+D98)/2,0),"")</f>
        <v>1000</v>
      </c>
      <c r="F98" s="52" t="s">
        <v>130</v>
      </c>
      <c r="G98" s="44" t="s">
        <v>204</v>
      </c>
      <c r="H98" s="21">
        <v>2024.0</v>
      </c>
    </row>
    <row r="99" ht="31.5" customHeight="1">
      <c r="A99" s="21">
        <v>2.0</v>
      </c>
      <c r="B99" s="27" t="s">
        <v>205</v>
      </c>
      <c r="C99" s="41">
        <v>500.0</v>
      </c>
      <c r="D99" s="41">
        <v>2000.0</v>
      </c>
      <c r="E99" s="42">
        <f t="shared" si="23"/>
        <v>1250</v>
      </c>
      <c r="F99" s="52" t="s">
        <v>130</v>
      </c>
      <c r="G99" s="44" t="s">
        <v>206</v>
      </c>
      <c r="H99" s="21">
        <v>2024.0</v>
      </c>
    </row>
    <row r="100" ht="19.5" customHeight="1">
      <c r="A100" s="48"/>
      <c r="B100" s="49" t="s">
        <v>111</v>
      </c>
      <c r="C100" s="50">
        <f t="shared" ref="C100:D100" si="24">IFERROR(ROUND(AVERAGE(C98:C99),0),"")</f>
        <v>450</v>
      </c>
      <c r="D100" s="50">
        <f t="shared" si="24"/>
        <v>1800</v>
      </c>
      <c r="E100" s="50">
        <f t="shared" si="23"/>
        <v>1125</v>
      </c>
      <c r="F100" s="48"/>
      <c r="G100" s="48"/>
      <c r="H100" s="48"/>
    </row>
    <row r="101" ht="15.75" customHeight="1"/>
    <row r="102" ht="18.0" customHeight="1">
      <c r="A102" s="40" t="s">
        <v>207</v>
      </c>
      <c r="B102" s="2"/>
      <c r="C102" s="2"/>
      <c r="D102" s="2"/>
      <c r="E102" s="2"/>
      <c r="F102" s="2"/>
      <c r="G102" s="2"/>
      <c r="H102" s="3"/>
    </row>
    <row r="103" ht="25.5" customHeight="1">
      <c r="A103" s="18" t="s">
        <v>17</v>
      </c>
      <c r="B103" s="18" t="s">
        <v>87</v>
      </c>
      <c r="C103" s="18" t="s">
        <v>88</v>
      </c>
      <c r="D103" s="18" t="s">
        <v>89</v>
      </c>
      <c r="E103" s="18" t="s">
        <v>90</v>
      </c>
      <c r="F103" s="18" t="s">
        <v>91</v>
      </c>
      <c r="G103" s="18" t="s">
        <v>92</v>
      </c>
      <c r="H103" s="18" t="s">
        <v>93</v>
      </c>
    </row>
    <row r="104" ht="15.75" customHeight="1">
      <c r="A104" s="22">
        <v>1.0</v>
      </c>
      <c r="B104" s="22" t="s">
        <v>208</v>
      </c>
      <c r="C104" s="69">
        <v>3000.0</v>
      </c>
      <c r="D104" s="69">
        <v>17500.0</v>
      </c>
      <c r="E104" s="70">
        <f t="shared" ref="E104:E108" si="25">C104+D104/2</f>
        <v>11750</v>
      </c>
      <c r="F104" s="66" t="s">
        <v>209</v>
      </c>
      <c r="G104" s="27"/>
      <c r="H104" s="27"/>
    </row>
    <row r="105" ht="15.75" customHeight="1">
      <c r="A105" s="22">
        <v>2.0</v>
      </c>
      <c r="B105" s="22" t="s">
        <v>210</v>
      </c>
      <c r="C105" s="69">
        <v>4000.0</v>
      </c>
      <c r="D105" s="69">
        <v>20000.0</v>
      </c>
      <c r="E105" s="70">
        <f t="shared" si="25"/>
        <v>14000</v>
      </c>
      <c r="F105" s="66" t="s">
        <v>209</v>
      </c>
      <c r="G105" s="27"/>
      <c r="H105" s="27"/>
    </row>
    <row r="106" ht="15.75" customHeight="1">
      <c r="A106" s="22">
        <v>3.0</v>
      </c>
      <c r="B106" s="22" t="s">
        <v>211</v>
      </c>
      <c r="C106" s="69">
        <v>10000.0</v>
      </c>
      <c r="D106" s="69">
        <v>50000.0</v>
      </c>
      <c r="E106" s="70">
        <f t="shared" si="25"/>
        <v>35000</v>
      </c>
      <c r="F106" s="66" t="s">
        <v>209</v>
      </c>
      <c r="G106" s="27"/>
      <c r="H106" s="27"/>
    </row>
    <row r="107" ht="15.75" customHeight="1">
      <c r="A107" s="22">
        <v>4.0</v>
      </c>
      <c r="B107" s="22" t="s">
        <v>212</v>
      </c>
      <c r="C107" s="69">
        <v>1000.0</v>
      </c>
      <c r="D107" s="69">
        <v>7000.0</v>
      </c>
      <c r="E107" s="70">
        <f t="shared" si="25"/>
        <v>4500</v>
      </c>
      <c r="F107" s="66" t="s">
        <v>209</v>
      </c>
      <c r="G107" s="27"/>
      <c r="H107" s="27"/>
    </row>
    <row r="108" ht="15.75" customHeight="1">
      <c r="A108" s="22">
        <v>5.0</v>
      </c>
      <c r="B108" s="22" t="s">
        <v>213</v>
      </c>
      <c r="C108" s="69">
        <v>15000.0</v>
      </c>
      <c r="D108" s="69">
        <v>50000.0</v>
      </c>
      <c r="E108" s="70">
        <f t="shared" si="25"/>
        <v>40000</v>
      </c>
      <c r="F108" s="66" t="s">
        <v>209</v>
      </c>
      <c r="G108" s="27"/>
      <c r="H108" s="27"/>
    </row>
    <row r="109" ht="19.5" customHeight="1">
      <c r="A109" s="48"/>
      <c r="B109" s="49" t="s">
        <v>111</v>
      </c>
      <c r="C109" s="50">
        <f t="shared" ref="C109:E109" si="26">IFERROR(ROUND(AVERAGE(C104:C108),0),"")</f>
        <v>6600</v>
      </c>
      <c r="D109" s="50">
        <f t="shared" si="26"/>
        <v>28900</v>
      </c>
      <c r="E109" s="50">
        <f t="shared" si="26"/>
        <v>21050</v>
      </c>
      <c r="F109" s="48"/>
      <c r="G109" s="48"/>
      <c r="H109" s="48"/>
    </row>
    <row r="110" ht="15.75" customHeight="1"/>
    <row r="111" ht="18.0" customHeight="1">
      <c r="A111" s="40" t="s">
        <v>214</v>
      </c>
      <c r="B111" s="2"/>
      <c r="C111" s="2"/>
      <c r="D111" s="2"/>
      <c r="E111" s="2"/>
      <c r="F111" s="2"/>
      <c r="G111" s="2"/>
      <c r="H111" s="3"/>
    </row>
    <row r="112" ht="25.5" customHeight="1">
      <c r="A112" s="18" t="s">
        <v>17</v>
      </c>
      <c r="B112" s="18" t="s">
        <v>87</v>
      </c>
      <c r="C112" s="18" t="s">
        <v>88</v>
      </c>
      <c r="D112" s="18" t="s">
        <v>89</v>
      </c>
      <c r="E112" s="18" t="s">
        <v>90</v>
      </c>
      <c r="F112" s="18" t="s">
        <v>91</v>
      </c>
      <c r="G112" s="18" t="s">
        <v>92</v>
      </c>
      <c r="H112" s="18" t="s">
        <v>93</v>
      </c>
    </row>
    <row r="113" ht="15.75" customHeight="1">
      <c r="A113" s="22">
        <v>1.0</v>
      </c>
      <c r="B113" s="22" t="s">
        <v>215</v>
      </c>
      <c r="C113" s="69">
        <v>175.0</v>
      </c>
      <c r="D113" s="69">
        <v>175.0</v>
      </c>
      <c r="E113" s="69">
        <v>175.0</v>
      </c>
      <c r="F113" s="22" t="s">
        <v>216</v>
      </c>
      <c r="G113" s="27"/>
      <c r="H113" s="22">
        <v>2026.0</v>
      </c>
    </row>
    <row r="114" ht="15.75" customHeight="1">
      <c r="A114" s="22">
        <v>2.0</v>
      </c>
      <c r="B114" s="22" t="s">
        <v>217</v>
      </c>
      <c r="C114" s="69">
        <v>100.0</v>
      </c>
      <c r="D114" s="69">
        <v>100.0</v>
      </c>
      <c r="E114" s="69">
        <v>100.0</v>
      </c>
      <c r="F114" s="22" t="s">
        <v>216</v>
      </c>
      <c r="G114" s="27"/>
      <c r="H114" s="22">
        <v>2026.0</v>
      </c>
    </row>
    <row r="115" ht="19.5" customHeight="1">
      <c r="A115" s="48"/>
      <c r="B115" s="49" t="s">
        <v>111</v>
      </c>
      <c r="C115" s="50">
        <f t="shared" ref="C115:E115" si="27">IFERROR(ROUND(AVERAGE(C113:C114),0),"")</f>
        <v>138</v>
      </c>
      <c r="D115" s="50">
        <f t="shared" si="27"/>
        <v>138</v>
      </c>
      <c r="E115" s="50">
        <f t="shared" si="27"/>
        <v>138</v>
      </c>
      <c r="F115" s="48"/>
      <c r="G115" s="48"/>
      <c r="H115" s="48"/>
    </row>
    <row r="116" ht="15.75" customHeight="1"/>
    <row r="117" ht="18.0" customHeight="1">
      <c r="A117" s="40" t="s">
        <v>218</v>
      </c>
      <c r="B117" s="2"/>
      <c r="C117" s="2"/>
      <c r="D117" s="2"/>
      <c r="E117" s="2"/>
      <c r="F117" s="2"/>
      <c r="G117" s="2"/>
      <c r="H117" s="3"/>
    </row>
    <row r="118" ht="25.5" customHeight="1">
      <c r="A118" s="18" t="s">
        <v>17</v>
      </c>
      <c r="B118" s="18" t="s">
        <v>87</v>
      </c>
      <c r="C118" s="18" t="s">
        <v>88</v>
      </c>
      <c r="D118" s="18" t="s">
        <v>89</v>
      </c>
      <c r="E118" s="18" t="s">
        <v>90</v>
      </c>
      <c r="F118" s="18" t="s">
        <v>91</v>
      </c>
      <c r="G118" s="18" t="s">
        <v>92</v>
      </c>
      <c r="H118" s="18" t="s">
        <v>93</v>
      </c>
    </row>
    <row r="119" ht="31.5" customHeight="1">
      <c r="A119" s="21">
        <v>1.0</v>
      </c>
      <c r="B119" s="27" t="s">
        <v>219</v>
      </c>
      <c r="C119" s="41">
        <v>12000.0</v>
      </c>
      <c r="D119" s="41">
        <v>18000.0</v>
      </c>
      <c r="E119" s="42">
        <f>IFERROR(ROUND((C119+D119)/2,0),"")</f>
        <v>15000</v>
      </c>
      <c r="F119" s="43" t="s">
        <v>220</v>
      </c>
      <c r="G119" s="44" t="s">
        <v>221</v>
      </c>
      <c r="H119" s="21">
        <v>2018.0</v>
      </c>
    </row>
    <row r="120" ht="31.5" customHeight="1">
      <c r="A120" s="26">
        <v>2.0</v>
      </c>
      <c r="B120" s="22" t="s">
        <v>222</v>
      </c>
      <c r="C120" s="45">
        <v>4000.0</v>
      </c>
      <c r="D120" s="45">
        <v>4000.0</v>
      </c>
      <c r="E120" s="42">
        <f>IFERROR(ROUND((C120+D120)/2,0),"")</f>
        <v>4000</v>
      </c>
      <c r="F120" s="46" t="s">
        <v>223</v>
      </c>
      <c r="G120" s="44"/>
      <c r="H120" s="21"/>
    </row>
    <row r="121" ht="19.5" customHeight="1">
      <c r="A121" s="48"/>
      <c r="B121" s="49" t="s">
        <v>111</v>
      </c>
      <c r="C121" s="50">
        <f>IFERROR(ROUND(AVERAGE(C119:Z120),0),"")</f>
        <v>8431</v>
      </c>
      <c r="D121" s="50">
        <f>IFERROR(ROUND(AVERAGE(D119:D120),0),"")</f>
        <v>11000</v>
      </c>
      <c r="E121" s="50">
        <f>IFERROR(ROUND((C121+D121)/2,0),"")</f>
        <v>9716</v>
      </c>
      <c r="F121" s="48"/>
      <c r="G121" s="48"/>
      <c r="H121" s="48"/>
    </row>
    <row r="122" ht="15.75" customHeight="1"/>
    <row r="123" ht="19.5" customHeight="1">
      <c r="A123" s="17" t="s">
        <v>49</v>
      </c>
      <c r="B123" s="2"/>
      <c r="C123" s="2"/>
      <c r="D123" s="2"/>
      <c r="E123" s="2"/>
      <c r="F123" s="2"/>
      <c r="G123" s="2"/>
      <c r="H123" s="3"/>
    </row>
    <row r="124" ht="18.0" customHeight="1">
      <c r="A124" s="40" t="s">
        <v>224</v>
      </c>
      <c r="B124" s="2"/>
      <c r="C124" s="2"/>
      <c r="D124" s="2"/>
      <c r="E124" s="2"/>
      <c r="F124" s="2"/>
      <c r="G124" s="2"/>
      <c r="H124" s="3"/>
    </row>
    <row r="125" ht="25.5" customHeight="1">
      <c r="A125" s="18" t="s">
        <v>17</v>
      </c>
      <c r="B125" s="18" t="s">
        <v>87</v>
      </c>
      <c r="C125" s="18" t="s">
        <v>88</v>
      </c>
      <c r="D125" s="18" t="s">
        <v>89</v>
      </c>
      <c r="E125" s="18" t="s">
        <v>90</v>
      </c>
      <c r="F125" s="18" t="s">
        <v>91</v>
      </c>
      <c r="G125" s="18" t="s">
        <v>92</v>
      </c>
      <c r="H125" s="18" t="s">
        <v>93</v>
      </c>
    </row>
    <row r="126" ht="31.5" customHeight="1">
      <c r="A126" s="21">
        <v>1.0</v>
      </c>
      <c r="B126" s="27" t="s">
        <v>225</v>
      </c>
      <c r="C126" s="41">
        <v>20.0</v>
      </c>
      <c r="D126" s="41">
        <v>30.0</v>
      </c>
      <c r="E126" s="42">
        <f t="shared" ref="E126:E130" si="28">IFERROR(ROUND((C126+D126)/2,0),"")</f>
        <v>25</v>
      </c>
      <c r="F126" s="43" t="s">
        <v>150</v>
      </c>
      <c r="G126" s="44" t="s">
        <v>226</v>
      </c>
      <c r="H126" s="21">
        <v>2015.0</v>
      </c>
    </row>
    <row r="127" ht="31.5" customHeight="1">
      <c r="A127" s="21">
        <v>2.0</v>
      </c>
      <c r="B127" s="27" t="s">
        <v>227</v>
      </c>
      <c r="C127" s="41">
        <v>40.0</v>
      </c>
      <c r="D127" s="41">
        <v>55.0</v>
      </c>
      <c r="E127" s="42">
        <f t="shared" si="28"/>
        <v>48</v>
      </c>
      <c r="F127" s="43" t="s">
        <v>150</v>
      </c>
      <c r="G127" s="44" t="s">
        <v>228</v>
      </c>
      <c r="H127" s="21">
        <v>2015.0</v>
      </c>
    </row>
    <row r="128" ht="31.5" customHeight="1">
      <c r="A128" s="21">
        <v>3.0</v>
      </c>
      <c r="B128" s="27" t="s">
        <v>229</v>
      </c>
      <c r="C128" s="41">
        <v>8.0</v>
      </c>
      <c r="D128" s="41">
        <v>9.0</v>
      </c>
      <c r="E128" s="42">
        <f t="shared" si="28"/>
        <v>9</v>
      </c>
      <c r="F128" s="52" t="s">
        <v>145</v>
      </c>
      <c r="G128" s="44" t="s">
        <v>230</v>
      </c>
      <c r="H128" s="21">
        <v>2025.0</v>
      </c>
    </row>
    <row r="129" ht="31.5" customHeight="1">
      <c r="A129" s="21">
        <v>4.0</v>
      </c>
      <c r="B129" s="27" t="s">
        <v>231</v>
      </c>
      <c r="C129" s="41">
        <v>12.0</v>
      </c>
      <c r="D129" s="41">
        <v>40.0</v>
      </c>
      <c r="E129" s="42">
        <f t="shared" si="28"/>
        <v>26</v>
      </c>
      <c r="F129" s="52" t="s">
        <v>145</v>
      </c>
      <c r="G129" s="44" t="s">
        <v>232</v>
      </c>
      <c r="H129" s="21">
        <v>2025.0</v>
      </c>
    </row>
    <row r="130" ht="19.5" customHeight="1">
      <c r="A130" s="48"/>
      <c r="B130" s="49" t="s">
        <v>111</v>
      </c>
      <c r="C130" s="50">
        <f t="shared" ref="C130:D130" si="29">IFERROR(ROUND(AVERAGE(C126:C129),0),"")</f>
        <v>20</v>
      </c>
      <c r="D130" s="50">
        <f t="shared" si="29"/>
        <v>34</v>
      </c>
      <c r="E130" s="50">
        <f t="shared" si="28"/>
        <v>27</v>
      </c>
      <c r="F130" s="48"/>
      <c r="G130" s="48"/>
      <c r="H130" s="48"/>
    </row>
    <row r="131" ht="15.75" customHeight="1"/>
    <row r="132" ht="18.0" customHeight="1">
      <c r="A132" s="40" t="s">
        <v>233</v>
      </c>
      <c r="B132" s="2"/>
      <c r="C132" s="2"/>
      <c r="D132" s="2"/>
      <c r="E132" s="2"/>
      <c r="F132" s="2"/>
      <c r="G132" s="2"/>
      <c r="H132" s="3"/>
    </row>
    <row r="133" ht="25.5" customHeight="1">
      <c r="A133" s="18" t="s">
        <v>17</v>
      </c>
      <c r="B133" s="18" t="s">
        <v>87</v>
      </c>
      <c r="C133" s="18" t="s">
        <v>88</v>
      </c>
      <c r="D133" s="18" t="s">
        <v>89</v>
      </c>
      <c r="E133" s="18" t="s">
        <v>90</v>
      </c>
      <c r="F133" s="18" t="s">
        <v>91</v>
      </c>
      <c r="G133" s="18" t="s">
        <v>92</v>
      </c>
      <c r="H133" s="18" t="s">
        <v>93</v>
      </c>
    </row>
    <row r="134" ht="31.5" customHeight="1">
      <c r="A134" s="21">
        <v>1.0</v>
      </c>
      <c r="B134" s="27" t="s">
        <v>234</v>
      </c>
      <c r="C134" s="41">
        <v>128.0</v>
      </c>
      <c r="D134" s="41">
        <v>675.0</v>
      </c>
      <c r="E134" s="42">
        <f t="shared" ref="E134:E137" si="30">IFERROR(ROUND((C134+D134)/2,0),"")</f>
        <v>402</v>
      </c>
      <c r="F134" s="43" t="s">
        <v>140</v>
      </c>
      <c r="G134" s="44" t="s">
        <v>235</v>
      </c>
      <c r="H134" s="21">
        <v>2026.0</v>
      </c>
    </row>
    <row r="135" ht="31.5" customHeight="1">
      <c r="A135" s="21">
        <v>2.0</v>
      </c>
      <c r="B135" s="27" t="s">
        <v>236</v>
      </c>
      <c r="C135" s="41">
        <v>112.0</v>
      </c>
      <c r="D135" s="41">
        <v>188.0</v>
      </c>
      <c r="E135" s="42">
        <f t="shared" si="30"/>
        <v>150</v>
      </c>
      <c r="F135" s="52" t="s">
        <v>145</v>
      </c>
      <c r="G135" s="44" t="s">
        <v>237</v>
      </c>
      <c r="H135" s="21">
        <v>2025.0</v>
      </c>
    </row>
    <row r="136" ht="31.5" customHeight="1">
      <c r="A136" s="21">
        <v>3.0</v>
      </c>
      <c r="B136" s="27" t="s">
        <v>238</v>
      </c>
      <c r="C136" s="41">
        <v>142.0</v>
      </c>
      <c r="D136" s="41">
        <v>232.0</v>
      </c>
      <c r="E136" s="42">
        <f t="shared" si="30"/>
        <v>187</v>
      </c>
      <c r="F136" s="52" t="s">
        <v>145</v>
      </c>
      <c r="G136" s="44" t="s">
        <v>239</v>
      </c>
      <c r="H136" s="21">
        <v>2025.0</v>
      </c>
    </row>
    <row r="137" ht="19.5" customHeight="1">
      <c r="A137" s="48"/>
      <c r="B137" s="49" t="s">
        <v>111</v>
      </c>
      <c r="C137" s="50">
        <f t="shared" ref="C137:D137" si="31">IFERROR(ROUND(AVERAGE(C134:C136),0),"")</f>
        <v>127</v>
      </c>
      <c r="D137" s="50">
        <f t="shared" si="31"/>
        <v>365</v>
      </c>
      <c r="E137" s="50">
        <f t="shared" si="30"/>
        <v>246</v>
      </c>
      <c r="F137" s="48"/>
      <c r="G137" s="48"/>
      <c r="H137" s="48"/>
    </row>
    <row r="138" ht="15.75" customHeight="1"/>
    <row r="139" ht="18.0" customHeight="1">
      <c r="A139" s="40" t="s">
        <v>240</v>
      </c>
      <c r="B139" s="2"/>
      <c r="C139" s="2"/>
      <c r="D139" s="2"/>
      <c r="E139" s="2"/>
      <c r="F139" s="2"/>
      <c r="G139" s="2"/>
      <c r="H139" s="3"/>
    </row>
    <row r="140" ht="25.5" customHeight="1">
      <c r="A140" s="18" t="s">
        <v>17</v>
      </c>
      <c r="B140" s="18" t="s">
        <v>87</v>
      </c>
      <c r="C140" s="18" t="s">
        <v>88</v>
      </c>
      <c r="D140" s="18" t="s">
        <v>89</v>
      </c>
      <c r="E140" s="18" t="s">
        <v>90</v>
      </c>
      <c r="F140" s="18" t="s">
        <v>91</v>
      </c>
      <c r="G140" s="18" t="s">
        <v>92</v>
      </c>
      <c r="H140" s="18" t="s">
        <v>93</v>
      </c>
    </row>
    <row r="141" ht="31.5" customHeight="1">
      <c r="A141" s="21">
        <v>1.0</v>
      </c>
      <c r="B141" s="27" t="s">
        <v>241</v>
      </c>
      <c r="C141" s="41">
        <v>1200.0</v>
      </c>
      <c r="D141" s="41">
        <v>1800.0</v>
      </c>
      <c r="E141" s="42">
        <f t="shared" ref="E141:E143" si="32">IFERROR(ROUND((C141+D141)/2,0),"")</f>
        <v>1500</v>
      </c>
      <c r="F141" s="43" t="s">
        <v>242</v>
      </c>
      <c r="G141" s="44" t="s">
        <v>243</v>
      </c>
      <c r="H141" s="21">
        <v>2019.0</v>
      </c>
    </row>
    <row r="142" ht="31.5" customHeight="1">
      <c r="A142" s="21">
        <v>2.0</v>
      </c>
      <c r="B142" s="27" t="s">
        <v>244</v>
      </c>
      <c r="C142" s="41">
        <v>200.0</v>
      </c>
      <c r="D142" s="41">
        <v>2500.0</v>
      </c>
      <c r="E142" s="42">
        <f t="shared" si="32"/>
        <v>1350</v>
      </c>
      <c r="F142" s="60" t="s">
        <v>245</v>
      </c>
      <c r="G142" s="61" t="s">
        <v>246</v>
      </c>
      <c r="H142" s="21">
        <v>2022.0</v>
      </c>
    </row>
    <row r="143" ht="19.5" customHeight="1">
      <c r="A143" s="48"/>
      <c r="B143" s="49" t="s">
        <v>111</v>
      </c>
      <c r="C143" s="50">
        <f t="shared" ref="C143:D143" si="33">IFERROR(ROUND(AVERAGE(C141:C142),0),"")</f>
        <v>700</v>
      </c>
      <c r="D143" s="50">
        <f t="shared" si="33"/>
        <v>2150</v>
      </c>
      <c r="E143" s="50">
        <f t="shared" si="32"/>
        <v>1425</v>
      </c>
      <c r="F143" s="48"/>
      <c r="G143" s="48"/>
      <c r="H143" s="48"/>
    </row>
    <row r="144" ht="15.75" customHeight="1"/>
    <row r="145" ht="18.0" customHeight="1">
      <c r="A145" s="40" t="s">
        <v>247</v>
      </c>
      <c r="B145" s="2"/>
      <c r="C145" s="2"/>
      <c r="D145" s="2"/>
      <c r="E145" s="2"/>
      <c r="F145" s="2"/>
      <c r="G145" s="2"/>
      <c r="H145" s="3"/>
    </row>
    <row r="146" ht="25.5" customHeight="1">
      <c r="A146" s="18" t="s">
        <v>17</v>
      </c>
      <c r="B146" s="18" t="s">
        <v>87</v>
      </c>
      <c r="C146" s="18" t="s">
        <v>88</v>
      </c>
      <c r="D146" s="18" t="s">
        <v>89</v>
      </c>
      <c r="E146" s="18" t="s">
        <v>90</v>
      </c>
      <c r="F146" s="18" t="s">
        <v>91</v>
      </c>
      <c r="G146" s="18" t="s">
        <v>92</v>
      </c>
      <c r="H146" s="18" t="s">
        <v>93</v>
      </c>
    </row>
    <row r="147" ht="31.5" customHeight="1">
      <c r="A147" s="21">
        <v>1.0</v>
      </c>
      <c r="B147" s="27" t="s">
        <v>248</v>
      </c>
      <c r="C147" s="41">
        <v>33681.0</v>
      </c>
      <c r="D147" s="41">
        <v>33681.0</v>
      </c>
      <c r="E147" s="42">
        <f t="shared" ref="E147:E148" si="35">IFERROR(ROUND((C147+D147)/2,0),"")</f>
        <v>33681</v>
      </c>
      <c r="F147" s="43" t="s">
        <v>140</v>
      </c>
      <c r="G147" s="44" t="s">
        <v>249</v>
      </c>
      <c r="H147" s="21">
        <v>2026.0</v>
      </c>
    </row>
    <row r="148" ht="19.5" customHeight="1">
      <c r="A148" s="48"/>
      <c r="B148" s="49" t="s">
        <v>111</v>
      </c>
      <c r="C148" s="50">
        <f t="shared" ref="C148:D148" si="34">IFERROR(ROUND(AVERAGE(C147),0),"")</f>
        <v>33681</v>
      </c>
      <c r="D148" s="50">
        <f t="shared" si="34"/>
        <v>33681</v>
      </c>
      <c r="E148" s="50">
        <f t="shared" si="35"/>
        <v>33681</v>
      </c>
      <c r="F148" s="48"/>
      <c r="G148" s="48"/>
      <c r="H148" s="48"/>
    </row>
    <row r="149" ht="15.75" customHeight="1"/>
    <row r="150" ht="18.0" customHeight="1">
      <c r="A150" s="40" t="s">
        <v>250</v>
      </c>
      <c r="B150" s="2"/>
      <c r="C150" s="2"/>
      <c r="D150" s="2"/>
      <c r="E150" s="2"/>
      <c r="F150" s="2"/>
      <c r="G150" s="2"/>
      <c r="H150" s="3"/>
    </row>
    <row r="151" ht="25.5" customHeight="1">
      <c r="A151" s="18" t="s">
        <v>17</v>
      </c>
      <c r="B151" s="18" t="s">
        <v>87</v>
      </c>
      <c r="C151" s="18" t="s">
        <v>88</v>
      </c>
      <c r="D151" s="18" t="s">
        <v>89</v>
      </c>
      <c r="E151" s="18" t="s">
        <v>90</v>
      </c>
      <c r="F151" s="18" t="s">
        <v>91</v>
      </c>
      <c r="G151" s="18" t="s">
        <v>92</v>
      </c>
      <c r="H151" s="18" t="s">
        <v>93</v>
      </c>
    </row>
    <row r="152" ht="15.75" customHeight="1">
      <c r="A152" s="71">
        <v>1.0</v>
      </c>
      <c r="B152" s="72" t="s">
        <v>251</v>
      </c>
      <c r="C152" s="73">
        <v>100.0</v>
      </c>
      <c r="D152" s="73" t="s">
        <v>252</v>
      </c>
      <c r="E152" s="73">
        <v>5000.0</v>
      </c>
      <c r="F152" s="74" t="s">
        <v>253</v>
      </c>
      <c r="G152" s="75" t="s">
        <v>254</v>
      </c>
      <c r="H152" s="76">
        <v>2017.0</v>
      </c>
      <c r="I152" s="59" t="s">
        <v>255</v>
      </c>
      <c r="J152" s="59" t="s">
        <v>256</v>
      </c>
      <c r="K152" s="72"/>
    </row>
    <row r="153" ht="15.75" customHeight="1">
      <c r="A153" s="71">
        <v>2.0</v>
      </c>
      <c r="B153" s="72" t="s">
        <v>257</v>
      </c>
      <c r="C153" s="77" t="s">
        <v>252</v>
      </c>
      <c r="D153" s="77" t="s">
        <v>252</v>
      </c>
      <c r="E153" s="77" t="s">
        <v>252</v>
      </c>
      <c r="F153" s="74" t="s">
        <v>258</v>
      </c>
      <c r="G153" s="78" t="s">
        <v>259</v>
      </c>
      <c r="H153" s="76">
        <v>2025.0</v>
      </c>
      <c r="I153" s="79" t="s">
        <v>260</v>
      </c>
      <c r="J153" s="79" t="s">
        <v>261</v>
      </c>
      <c r="K153" s="80" t="s">
        <v>262</v>
      </c>
    </row>
    <row r="154" ht="15.75" customHeight="1">
      <c r="A154" s="71">
        <v>3.0</v>
      </c>
      <c r="B154" s="72" t="s">
        <v>263</v>
      </c>
      <c r="C154" s="73">
        <v>200.0</v>
      </c>
      <c r="D154" s="73">
        <v>1800.0</v>
      </c>
      <c r="E154" s="81">
        <f t="shared" ref="E154:E155" si="36">(D154+C154)/2</f>
        <v>1000</v>
      </c>
      <c r="F154" s="74" t="s">
        <v>264</v>
      </c>
      <c r="G154" s="79" t="s">
        <v>265</v>
      </c>
      <c r="H154" s="76">
        <v>2023.0</v>
      </c>
      <c r="I154" s="79"/>
      <c r="J154" s="79"/>
      <c r="K154" s="82"/>
    </row>
    <row r="155" ht="15.75" customHeight="1">
      <c r="A155" s="71">
        <v>4.0</v>
      </c>
      <c r="B155" s="72" t="s">
        <v>266</v>
      </c>
      <c r="C155" s="73">
        <v>2000.0</v>
      </c>
      <c r="D155" s="73">
        <v>4000.0</v>
      </c>
      <c r="E155" s="81">
        <f t="shared" si="36"/>
        <v>3000</v>
      </c>
      <c r="F155" s="83"/>
      <c r="G155" s="79"/>
      <c r="H155" s="76"/>
      <c r="I155" s="79"/>
      <c r="J155" s="79"/>
      <c r="K155" s="82"/>
    </row>
    <row r="156" ht="19.5" customHeight="1">
      <c r="A156" s="48"/>
      <c r="B156" s="49" t="s">
        <v>111</v>
      </c>
      <c r="C156" s="50">
        <f t="shared" ref="C156:E156" si="37">IFERROR(ROUND(AVERAGE(C152:C155),0),"")</f>
        <v>767</v>
      </c>
      <c r="D156" s="50">
        <f t="shared" si="37"/>
        <v>2900</v>
      </c>
      <c r="E156" s="50">
        <f t="shared" si="37"/>
        <v>3000</v>
      </c>
      <c r="F156" s="48"/>
      <c r="G156" s="48"/>
      <c r="H156" s="48"/>
    </row>
    <row r="157" ht="15.75" customHeight="1"/>
    <row r="158" ht="18.0" customHeight="1">
      <c r="A158" s="40" t="s">
        <v>267</v>
      </c>
      <c r="B158" s="2"/>
      <c r="C158" s="2"/>
      <c r="D158" s="2"/>
      <c r="E158" s="2"/>
      <c r="F158" s="2"/>
      <c r="G158" s="2"/>
      <c r="H158" s="3"/>
    </row>
    <row r="159" ht="25.5" customHeight="1">
      <c r="A159" s="18" t="s">
        <v>17</v>
      </c>
      <c r="B159" s="18" t="s">
        <v>87</v>
      </c>
      <c r="C159" s="18" t="s">
        <v>88</v>
      </c>
      <c r="D159" s="18" t="s">
        <v>89</v>
      </c>
      <c r="E159" s="18" t="s">
        <v>90</v>
      </c>
      <c r="F159" s="18" t="s">
        <v>91</v>
      </c>
      <c r="G159" s="18" t="s">
        <v>92</v>
      </c>
      <c r="H159" s="18" t="s">
        <v>93</v>
      </c>
    </row>
    <row r="160" ht="31.5" customHeight="1">
      <c r="A160" s="21">
        <v>1.0</v>
      </c>
      <c r="B160" s="27" t="s">
        <v>268</v>
      </c>
      <c r="C160" s="41">
        <v>300.0</v>
      </c>
      <c r="D160" s="41">
        <v>1500.0</v>
      </c>
      <c r="E160" s="42">
        <f t="shared" ref="E160:E162" si="38">IFERROR(ROUND((C160+D160)/2,0),"")</f>
        <v>900</v>
      </c>
      <c r="F160" s="43" t="s">
        <v>269</v>
      </c>
      <c r="G160" s="44" t="s">
        <v>270</v>
      </c>
      <c r="H160" s="21">
        <v>2020.0</v>
      </c>
    </row>
    <row r="161" ht="31.5" customHeight="1">
      <c r="A161" s="21">
        <v>2.0</v>
      </c>
      <c r="B161" s="27" t="s">
        <v>271</v>
      </c>
      <c r="C161" s="41">
        <v>1500.0</v>
      </c>
      <c r="D161" s="41">
        <v>5000.0</v>
      </c>
      <c r="E161" s="42">
        <f t="shared" si="38"/>
        <v>3250</v>
      </c>
      <c r="F161" s="43" t="s">
        <v>272</v>
      </c>
      <c r="G161" s="44" t="s">
        <v>273</v>
      </c>
      <c r="H161" s="21">
        <v>2021.0</v>
      </c>
    </row>
    <row r="162" ht="19.5" customHeight="1">
      <c r="A162" s="48"/>
      <c r="B162" s="49" t="s">
        <v>111</v>
      </c>
      <c r="C162" s="50">
        <f t="shared" ref="C162:D162" si="39">IFERROR(ROUND(AVERAGE(C160:C161),0),"")</f>
        <v>900</v>
      </c>
      <c r="D162" s="50">
        <f t="shared" si="39"/>
        <v>3250</v>
      </c>
      <c r="E162" s="50">
        <f t="shared" si="38"/>
        <v>2075</v>
      </c>
      <c r="F162" s="48"/>
      <c r="G162" s="48"/>
      <c r="H162" s="48"/>
    </row>
    <row r="163" ht="15.75" customHeight="1"/>
    <row r="164" ht="18.0" customHeight="1">
      <c r="A164" s="40" t="s">
        <v>274</v>
      </c>
      <c r="B164" s="2"/>
      <c r="C164" s="2"/>
      <c r="D164" s="2"/>
      <c r="E164" s="2"/>
      <c r="F164" s="2"/>
      <c r="G164" s="2"/>
      <c r="H164" s="3"/>
    </row>
    <row r="165" ht="25.5" customHeight="1">
      <c r="A165" s="18" t="s">
        <v>17</v>
      </c>
      <c r="B165" s="18" t="s">
        <v>87</v>
      </c>
      <c r="C165" s="18" t="s">
        <v>88</v>
      </c>
      <c r="D165" s="18" t="s">
        <v>89</v>
      </c>
      <c r="E165" s="18" t="s">
        <v>90</v>
      </c>
      <c r="F165" s="18" t="s">
        <v>91</v>
      </c>
      <c r="G165" s="18" t="s">
        <v>92</v>
      </c>
      <c r="H165" s="18" t="s">
        <v>93</v>
      </c>
    </row>
    <row r="166" ht="31.5" customHeight="1">
      <c r="A166" s="21">
        <v>1.0</v>
      </c>
      <c r="B166" s="27" t="s">
        <v>275</v>
      </c>
      <c r="C166" s="41">
        <v>500.0</v>
      </c>
      <c r="D166" s="41">
        <v>3000.0</v>
      </c>
      <c r="E166" s="42">
        <f t="shared" ref="E166:E168" si="40">IFERROR(ROUND((C166+D166)/2,0),"")</f>
        <v>1750</v>
      </c>
      <c r="F166" s="52" t="s">
        <v>276</v>
      </c>
      <c r="G166" s="44" t="s">
        <v>277</v>
      </c>
      <c r="H166" s="21">
        <v>2008.0</v>
      </c>
    </row>
    <row r="167" ht="31.5" customHeight="1">
      <c r="A167" s="21">
        <v>2.0</v>
      </c>
      <c r="B167" s="27" t="s">
        <v>278</v>
      </c>
      <c r="C167" s="41">
        <v>300.0</v>
      </c>
      <c r="D167" s="41">
        <v>2000.0</v>
      </c>
      <c r="E167" s="42">
        <f t="shared" si="40"/>
        <v>1150</v>
      </c>
      <c r="F167" s="43" t="s">
        <v>279</v>
      </c>
      <c r="G167" s="44" t="s">
        <v>280</v>
      </c>
      <c r="H167" s="21">
        <v>2016.0</v>
      </c>
    </row>
    <row r="168" ht="31.5" customHeight="1">
      <c r="A168" s="26">
        <v>3.0</v>
      </c>
      <c r="B168" s="22" t="s">
        <v>281</v>
      </c>
      <c r="C168" s="45">
        <v>3000.0</v>
      </c>
      <c r="D168" s="45">
        <v>6000.0</v>
      </c>
      <c r="E168" s="42">
        <f t="shared" si="40"/>
        <v>4500</v>
      </c>
      <c r="F168" s="84" t="s">
        <v>282</v>
      </c>
      <c r="G168" s="85" t="s">
        <v>283</v>
      </c>
      <c r="H168" s="21"/>
    </row>
    <row r="169" ht="19.5" customHeight="1">
      <c r="A169" s="48"/>
      <c r="B169" s="49" t="s">
        <v>111</v>
      </c>
      <c r="C169" s="50">
        <f t="shared" ref="C169:E169" si="41">IFERROR(ROUND(AVERAGE(C166:C168),0),"")</f>
        <v>1267</v>
      </c>
      <c r="D169" s="50">
        <f t="shared" si="41"/>
        <v>3667</v>
      </c>
      <c r="E169" s="50">
        <f t="shared" si="41"/>
        <v>2467</v>
      </c>
      <c r="F169" s="48"/>
      <c r="G169" s="48"/>
      <c r="H169" s="48"/>
    </row>
    <row r="170" ht="15.75" customHeight="1"/>
    <row r="171" ht="18.0" customHeight="1">
      <c r="A171" s="40" t="s">
        <v>284</v>
      </c>
      <c r="B171" s="2"/>
      <c r="C171" s="2"/>
      <c r="D171" s="2"/>
      <c r="E171" s="2"/>
      <c r="F171" s="2"/>
      <c r="G171" s="2"/>
      <c r="H171" s="3"/>
    </row>
    <row r="172" ht="25.5" customHeight="1">
      <c r="A172" s="18" t="s">
        <v>17</v>
      </c>
      <c r="B172" s="18" t="s">
        <v>87</v>
      </c>
      <c r="C172" s="18" t="s">
        <v>88</v>
      </c>
      <c r="D172" s="18" t="s">
        <v>89</v>
      </c>
      <c r="E172" s="18" t="s">
        <v>90</v>
      </c>
      <c r="F172" s="18" t="s">
        <v>91</v>
      </c>
      <c r="G172" s="18" t="s">
        <v>92</v>
      </c>
      <c r="H172" s="18" t="s">
        <v>93</v>
      </c>
    </row>
    <row r="173" ht="31.5" customHeight="1">
      <c r="A173" s="21">
        <v>1.0</v>
      </c>
      <c r="B173" s="27" t="s">
        <v>285</v>
      </c>
      <c r="C173" s="41">
        <v>400.0</v>
      </c>
      <c r="D173" s="41">
        <v>1500.0</v>
      </c>
      <c r="E173" s="42">
        <f t="shared" ref="E173:E175" si="42">IFERROR(ROUND((C173+D173)/2,0),"")</f>
        <v>950</v>
      </c>
      <c r="F173" s="43" t="s">
        <v>286</v>
      </c>
      <c r="G173" s="44" t="s">
        <v>287</v>
      </c>
      <c r="H173" s="21">
        <v>2023.0</v>
      </c>
    </row>
    <row r="174" ht="31.5" customHeight="1">
      <c r="A174" s="21">
        <v>2.0</v>
      </c>
      <c r="B174" s="27" t="s">
        <v>288</v>
      </c>
      <c r="C174" s="41">
        <v>900.0</v>
      </c>
      <c r="D174" s="41">
        <v>6700.0</v>
      </c>
      <c r="E174" s="42">
        <f t="shared" si="42"/>
        <v>3800</v>
      </c>
      <c r="F174" s="43" t="s">
        <v>289</v>
      </c>
      <c r="G174" s="44" t="s">
        <v>290</v>
      </c>
      <c r="H174" s="21">
        <v>2023.0</v>
      </c>
    </row>
    <row r="175" ht="19.5" customHeight="1">
      <c r="A175" s="48"/>
      <c r="B175" s="49" t="s">
        <v>111</v>
      </c>
      <c r="C175" s="50">
        <f t="shared" ref="C175:D175" si="43">IFERROR(ROUND(AVERAGE(C173:C174),0),"")</f>
        <v>650</v>
      </c>
      <c r="D175" s="50">
        <f t="shared" si="43"/>
        <v>4100</v>
      </c>
      <c r="E175" s="50">
        <f t="shared" si="42"/>
        <v>2375</v>
      </c>
      <c r="F175" s="48"/>
      <c r="G175" s="48"/>
      <c r="H175" s="48"/>
    </row>
    <row r="176" ht="15.75" customHeight="1"/>
    <row r="177" ht="18.0" customHeight="1">
      <c r="A177" s="40" t="s">
        <v>291</v>
      </c>
      <c r="B177" s="2"/>
      <c r="C177" s="2"/>
      <c r="D177" s="2"/>
      <c r="E177" s="2"/>
      <c r="F177" s="2"/>
      <c r="G177" s="2"/>
      <c r="H177" s="3"/>
    </row>
    <row r="178" ht="25.5" customHeight="1">
      <c r="A178" s="18" t="s">
        <v>17</v>
      </c>
      <c r="B178" s="18" t="s">
        <v>87</v>
      </c>
      <c r="C178" s="18" t="s">
        <v>88</v>
      </c>
      <c r="D178" s="18" t="s">
        <v>89</v>
      </c>
      <c r="E178" s="18" t="s">
        <v>90</v>
      </c>
      <c r="F178" s="18" t="s">
        <v>91</v>
      </c>
      <c r="G178" s="18" t="s">
        <v>92</v>
      </c>
      <c r="H178" s="18" t="s">
        <v>93</v>
      </c>
    </row>
    <row r="179" ht="15.75" customHeight="1">
      <c r="A179" s="22">
        <v>1.0</v>
      </c>
      <c r="B179" s="27" t="s">
        <v>292</v>
      </c>
      <c r="C179" s="69">
        <v>1000.0</v>
      </c>
      <c r="D179" s="69">
        <v>7000.0</v>
      </c>
      <c r="E179" s="42">
        <f t="shared" ref="E179:E180" si="44">IFERROR(ROUND((C179+D179)/2,0),"")</f>
        <v>4000</v>
      </c>
      <c r="F179" s="86" t="s">
        <v>293</v>
      </c>
      <c r="G179" s="85" t="s">
        <v>294</v>
      </c>
      <c r="H179" s="27"/>
    </row>
    <row r="180" ht="15.75" customHeight="1">
      <c r="A180" s="22">
        <v>2.0</v>
      </c>
      <c r="B180" s="27" t="s">
        <v>292</v>
      </c>
      <c r="C180" s="69">
        <v>431.0</v>
      </c>
      <c r="D180" s="69">
        <v>4844.0</v>
      </c>
      <c r="E180" s="42">
        <f t="shared" si="44"/>
        <v>2638</v>
      </c>
      <c r="F180" s="86" t="s">
        <v>295</v>
      </c>
      <c r="G180" s="85"/>
      <c r="H180" s="27"/>
    </row>
    <row r="181" ht="19.5" customHeight="1">
      <c r="A181" s="48"/>
      <c r="B181" s="49" t="s">
        <v>111</v>
      </c>
      <c r="C181" s="50">
        <f t="shared" ref="C181:E181" si="45">IFERROR(ROUND(AVERAGE(C179:C180),0),"")</f>
        <v>716</v>
      </c>
      <c r="D181" s="50">
        <f t="shared" si="45"/>
        <v>5922</v>
      </c>
      <c r="E181" s="50">
        <f t="shared" si="45"/>
        <v>3319</v>
      </c>
      <c r="F181" s="48"/>
      <c r="G181" s="48"/>
      <c r="H181" s="48"/>
    </row>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sheetData>
  <mergeCells count="29">
    <mergeCell ref="A1:H1"/>
    <mergeCell ref="A2:H2"/>
    <mergeCell ref="A4:H4"/>
    <mergeCell ref="A5:H5"/>
    <mergeCell ref="A17:H17"/>
    <mergeCell ref="A29:H29"/>
    <mergeCell ref="A36:H36"/>
    <mergeCell ref="A45:H45"/>
    <mergeCell ref="A51:H51"/>
    <mergeCell ref="A57:H57"/>
    <mergeCell ref="A66:H66"/>
    <mergeCell ref="A67:H67"/>
    <mergeCell ref="A77:H77"/>
    <mergeCell ref="A84:H84"/>
    <mergeCell ref="A132:H132"/>
    <mergeCell ref="A139:H139"/>
    <mergeCell ref="A145:H145"/>
    <mergeCell ref="A150:H150"/>
    <mergeCell ref="A158:H158"/>
    <mergeCell ref="A164:H164"/>
    <mergeCell ref="A171:H171"/>
    <mergeCell ref="A177:H177"/>
    <mergeCell ref="A91:H91"/>
    <mergeCell ref="A96:H96"/>
    <mergeCell ref="A102:H102"/>
    <mergeCell ref="A111:H111"/>
    <mergeCell ref="A117:H117"/>
    <mergeCell ref="A123:H123"/>
    <mergeCell ref="A124:H124"/>
  </mergeCells>
  <hyperlinks>
    <hyperlink r:id="rId2" ref="F7"/>
    <hyperlink r:id="rId3" ref="F8"/>
    <hyperlink r:id="rId4" ref="F9"/>
    <hyperlink r:id="rId5" ref="F10"/>
    <hyperlink r:id="rId6" ref="F11"/>
    <hyperlink r:id="rId7" ref="F12"/>
    <hyperlink r:id="rId8" ref="F13"/>
    <hyperlink r:id="rId9" ref="F14"/>
    <hyperlink r:id="rId10" ref="F19"/>
    <hyperlink r:id="rId11" ref="F20"/>
    <hyperlink r:id="rId12" ref="F21"/>
    <hyperlink r:id="rId13" ref="F22"/>
    <hyperlink r:id="rId14" ref="F23"/>
    <hyperlink r:id="rId15" ref="F24"/>
    <hyperlink r:id="rId16" ref="F25"/>
    <hyperlink r:id="rId17" ref="F31"/>
    <hyperlink r:id="rId18" ref="F32"/>
    <hyperlink r:id="rId19" ref="F33"/>
    <hyperlink r:id="rId20" ref="F38"/>
    <hyperlink r:id="rId21" ref="F39"/>
    <hyperlink r:id="rId22" ref="F40"/>
    <hyperlink r:id="rId23" ref="F41"/>
    <hyperlink r:id="rId24" ref="F42"/>
    <hyperlink r:id="rId25" ref="F47"/>
    <hyperlink r:id="rId26" location=":~:text=Development%20of%20Low,%E2%80%BA%20dot%20%E2%80%BA%20dot_31695_DS1" ref="F48"/>
    <hyperlink r:id="rId27" ref="F53"/>
    <hyperlink r:id="rId28" ref="F54"/>
    <hyperlink r:id="rId29" ref="F63"/>
    <hyperlink r:id="rId30" ref="F69"/>
    <hyperlink r:id="rId31" ref="F70"/>
    <hyperlink r:id="rId32" ref="F71"/>
    <hyperlink r:id="rId33" ref="F72"/>
    <hyperlink r:id="rId34" ref="F73"/>
    <hyperlink r:id="rId35" ref="F74"/>
    <hyperlink r:id="rId36" ref="F79"/>
    <hyperlink r:id="rId37" ref="F80"/>
    <hyperlink r:id="rId38" ref="F81"/>
    <hyperlink r:id="rId39" ref="F86"/>
    <hyperlink r:id="rId40" ref="F87"/>
    <hyperlink r:id="rId41" ref="F93"/>
    <hyperlink r:id="rId42" ref="F98"/>
    <hyperlink r:id="rId43" ref="F99"/>
    <hyperlink r:id="rId44" ref="F104"/>
    <hyperlink r:id="rId45" ref="F105"/>
    <hyperlink r:id="rId46" ref="F106"/>
    <hyperlink r:id="rId47" ref="F107"/>
    <hyperlink r:id="rId48" ref="F108"/>
    <hyperlink r:id="rId49" ref="F119"/>
    <hyperlink r:id="rId50" ref="F120"/>
    <hyperlink r:id="rId51" ref="F126"/>
    <hyperlink r:id="rId52" ref="F127"/>
    <hyperlink r:id="rId53" ref="F128"/>
    <hyperlink r:id="rId54" ref="F129"/>
    <hyperlink r:id="rId55" ref="F134"/>
    <hyperlink r:id="rId56" ref="F135"/>
    <hyperlink r:id="rId57" ref="F136"/>
    <hyperlink r:id="rId58" ref="F141"/>
    <hyperlink r:id="rId59" ref="F142"/>
    <hyperlink r:id="rId60" ref="F147"/>
    <hyperlink r:id="rId61" ref="F152"/>
    <hyperlink r:id="rId62" ref="G152"/>
    <hyperlink r:id="rId63" ref="F153"/>
    <hyperlink r:id="rId64" ref="G153"/>
    <hyperlink r:id="rId65" ref="K153"/>
    <hyperlink r:id="rId66" ref="F154"/>
    <hyperlink r:id="rId67" location=":~:text=Free%20opportunity&amp;text=The%20agents%20make%20just%20a,the%20opportunity%20is%20absolutely%20free.&amp;text=%E2%80%9CThey%20are%20the%20most%20vulnerable,apples%E2%80%9D%2C%20according%20to%20Nyakarundi." ref="F160"/>
    <hyperlink r:id="rId68" location=":~:text=A%20solar%20kiosk%20can%20be,has%20analysed%2023%20kiosks%20worldwide." ref="F161"/>
    <hyperlink r:id="rId69" ref="F166"/>
    <hyperlink r:id="rId70" location=":~:text=This%20paper%20gives%20an%20introduction,programme%20over%20about%20twelve%20years." ref="F167"/>
    <hyperlink r:id="rId71" ref="F168"/>
    <hyperlink r:id="rId72" ref="F173"/>
    <hyperlink r:id="rId73" ref="F174"/>
    <hyperlink r:id="rId74" ref="F179"/>
    <hyperlink r:id="rId75" ref="F180"/>
  </hyperlinks>
  <printOptions/>
  <pageMargins bottom="1.0" footer="0.0" header="0.0" left="0.75" right="0.75" top="1.0"/>
  <pageSetup paperSize="9" orientation="portrait"/>
  <drawing r:id="rId76"/>
  <legacyDrawing r:id="rId7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110.0"/>
    <col customWidth="1" min="3" max="26" width="8.71"/>
  </cols>
  <sheetData>
    <row r="1" ht="27.75" customHeight="1">
      <c r="A1" s="38" t="s">
        <v>296</v>
      </c>
      <c r="B1" s="3"/>
    </row>
    <row r="2">
      <c r="B2" s="87"/>
    </row>
    <row r="3">
      <c r="B3" s="88" t="s">
        <v>297</v>
      </c>
    </row>
    <row r="4">
      <c r="B4" s="87" t="s">
        <v>298</v>
      </c>
    </row>
    <row r="5">
      <c r="B5" s="87" t="s">
        <v>299</v>
      </c>
    </row>
    <row r="6">
      <c r="B6" s="87" t="s">
        <v>300</v>
      </c>
    </row>
    <row r="7">
      <c r="B7" s="87"/>
    </row>
    <row r="8">
      <c r="B8" s="88" t="s">
        <v>301</v>
      </c>
    </row>
    <row r="9">
      <c r="B9" s="87" t="s">
        <v>302</v>
      </c>
    </row>
    <row r="10">
      <c r="B10" s="87" t="s">
        <v>303</v>
      </c>
    </row>
    <row r="11">
      <c r="B11" s="87" t="s">
        <v>304</v>
      </c>
    </row>
    <row r="12">
      <c r="B12" s="87" t="s">
        <v>305</v>
      </c>
    </row>
    <row r="13">
      <c r="B13" s="87" t="s">
        <v>306</v>
      </c>
    </row>
    <row r="14">
      <c r="B14" s="87" t="s">
        <v>307</v>
      </c>
    </row>
    <row r="15">
      <c r="B15" s="87"/>
    </row>
    <row r="16">
      <c r="B16" s="88" t="s">
        <v>308</v>
      </c>
    </row>
    <row r="17">
      <c r="B17" s="87" t="s">
        <v>309</v>
      </c>
    </row>
    <row r="18">
      <c r="B18" s="87" t="s">
        <v>310</v>
      </c>
    </row>
    <row r="19">
      <c r="B19" s="87" t="s">
        <v>311</v>
      </c>
    </row>
    <row r="20">
      <c r="B20" s="87"/>
    </row>
    <row r="21" ht="15.75" customHeight="1">
      <c r="B21" s="88" t="s">
        <v>312</v>
      </c>
    </row>
    <row r="22" ht="15.75" customHeight="1">
      <c r="B22" s="87" t="s">
        <v>313</v>
      </c>
    </row>
    <row r="23" ht="15.75" customHeight="1">
      <c r="B23" s="87" t="s">
        <v>314</v>
      </c>
    </row>
    <row r="24" ht="15.75" customHeight="1">
      <c r="B24" s="87" t="s">
        <v>315</v>
      </c>
    </row>
    <row r="25" ht="15.75" customHeight="1">
      <c r="B25" s="87" t="s">
        <v>316</v>
      </c>
    </row>
    <row r="26" ht="15.75" customHeight="1">
      <c r="B26" s="87" t="s">
        <v>317</v>
      </c>
    </row>
    <row r="27" ht="15.75" customHeight="1">
      <c r="B27" s="87" t="s">
        <v>318</v>
      </c>
    </row>
    <row r="28" ht="15.75" customHeight="1">
      <c r="B28" s="87"/>
    </row>
    <row r="29" ht="15.75" customHeight="1">
      <c r="B29" s="88" t="s">
        <v>319</v>
      </c>
    </row>
    <row r="30" ht="15.75" customHeight="1">
      <c r="B30" s="87" t="s">
        <v>320</v>
      </c>
    </row>
    <row r="31" ht="15.75" customHeight="1">
      <c r="B31" s="87" t="s">
        <v>321</v>
      </c>
    </row>
    <row r="32" ht="15.75" customHeight="1">
      <c r="B32" s="87" t="s">
        <v>322</v>
      </c>
    </row>
    <row r="33" ht="15.75" customHeight="1">
      <c r="B33" s="87" t="s">
        <v>323</v>
      </c>
    </row>
    <row r="34" ht="15.75" customHeight="1">
      <c r="B34" s="87" t="s">
        <v>324</v>
      </c>
    </row>
    <row r="35" ht="15.75" customHeight="1">
      <c r="B35" s="87" t="s">
        <v>325</v>
      </c>
    </row>
    <row r="36" ht="15.75" customHeight="1">
      <c r="B36" s="87" t="s">
        <v>326</v>
      </c>
    </row>
    <row r="37" ht="15.75" customHeight="1">
      <c r="B37" s="87"/>
    </row>
    <row r="38" ht="15.75" customHeight="1">
      <c r="B38" s="88" t="s">
        <v>327</v>
      </c>
    </row>
    <row r="39" ht="15.75" customHeight="1">
      <c r="B39" s="87" t="s">
        <v>328</v>
      </c>
    </row>
    <row r="40" ht="15.75" customHeight="1">
      <c r="B40" s="87" t="s">
        <v>329</v>
      </c>
    </row>
    <row r="41" ht="15.75" customHeight="1">
      <c r="B41" s="87" t="s">
        <v>330</v>
      </c>
    </row>
    <row r="42" ht="15.75" customHeight="1">
      <c r="B42" s="87" t="s">
        <v>331</v>
      </c>
    </row>
    <row r="43" ht="15.75" customHeight="1">
      <c r="B43" s="87"/>
    </row>
    <row r="44" ht="15.75" customHeight="1">
      <c r="B44" s="88" t="s">
        <v>332</v>
      </c>
    </row>
    <row r="45" ht="15.75" customHeight="1">
      <c r="B45" s="87" t="s">
        <v>333</v>
      </c>
    </row>
    <row r="46" ht="15.75" customHeight="1">
      <c r="B46" s="87" t="s">
        <v>334</v>
      </c>
    </row>
    <row r="47" ht="15.75" customHeight="1">
      <c r="B47" s="87"/>
    </row>
    <row r="48" ht="15.75" customHeight="1">
      <c r="B48" s="88" t="s">
        <v>335</v>
      </c>
    </row>
    <row r="49" ht="15.75" customHeight="1">
      <c r="B49" s="87" t="s">
        <v>336</v>
      </c>
    </row>
    <row r="50" ht="15.75" customHeight="1">
      <c r="B50" s="87" t="s">
        <v>337</v>
      </c>
    </row>
    <row r="51" ht="15.75" customHeight="1">
      <c r="B51" s="87" t="s">
        <v>338</v>
      </c>
    </row>
    <row r="52" ht="15.75" customHeight="1">
      <c r="B52" s="87" t="s">
        <v>339</v>
      </c>
    </row>
    <row r="53" ht="15.75" customHeight="1">
      <c r="B53" s="87" t="s">
        <v>340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25.0"/>
    <col customWidth="1" min="3" max="3" width="55.0"/>
    <col customWidth="1" min="4" max="4" width="55.29"/>
    <col customWidth="1" min="5" max="26" width="8.71"/>
  </cols>
  <sheetData>
    <row r="1" ht="30.0" customHeight="1">
      <c r="A1" s="89" t="s">
        <v>341</v>
      </c>
      <c r="B1" s="90"/>
      <c r="C1" s="90"/>
      <c r="D1" s="91"/>
    </row>
    <row r="2" ht="15.0" customHeight="1">
      <c r="A2" s="92"/>
      <c r="B2" s="93" t="s">
        <v>342</v>
      </c>
      <c r="C2" s="92"/>
      <c r="D2" s="92"/>
    </row>
    <row r="4" ht="15.0" customHeight="1">
      <c r="A4" s="92"/>
      <c r="B4" s="94" t="s">
        <v>343</v>
      </c>
      <c r="C4" s="94" t="s">
        <v>344</v>
      </c>
      <c r="D4" s="94" t="s">
        <v>345</v>
      </c>
    </row>
    <row r="5" ht="60.0" customHeight="1">
      <c r="A5" s="92"/>
      <c r="B5" s="95" t="s">
        <v>346</v>
      </c>
      <c r="C5" s="96" t="s">
        <v>347</v>
      </c>
      <c r="D5" s="96" t="s">
        <v>348</v>
      </c>
    </row>
    <row r="6" ht="60.0" customHeight="1">
      <c r="A6" s="92"/>
      <c r="B6" s="97" t="s">
        <v>349</v>
      </c>
      <c r="C6" s="98" t="s">
        <v>350</v>
      </c>
      <c r="D6" s="98" t="s">
        <v>351</v>
      </c>
    </row>
    <row r="7" ht="60.0" customHeight="1">
      <c r="A7" s="92"/>
      <c r="B7" s="95" t="s">
        <v>352</v>
      </c>
      <c r="C7" s="96" t="s">
        <v>353</v>
      </c>
      <c r="D7" s="96" t="s">
        <v>354</v>
      </c>
    </row>
    <row r="8" ht="60.0" customHeight="1">
      <c r="A8" s="92"/>
      <c r="B8" s="97" t="s">
        <v>355</v>
      </c>
      <c r="C8" s="98" t="s">
        <v>356</v>
      </c>
      <c r="D8" s="98" t="s">
        <v>357</v>
      </c>
    </row>
    <row r="9" ht="99.75" customHeight="1">
      <c r="A9" s="92"/>
      <c r="B9" s="95" t="s">
        <v>358</v>
      </c>
      <c r="C9" s="96" t="s">
        <v>359</v>
      </c>
      <c r="D9" s="96" t="s">
        <v>360</v>
      </c>
    </row>
    <row r="10" ht="60.0" customHeight="1">
      <c r="A10" s="92"/>
      <c r="B10" s="97" t="s">
        <v>361</v>
      </c>
      <c r="C10" s="98" t="s">
        <v>362</v>
      </c>
      <c r="D10" s="98" t="s">
        <v>363</v>
      </c>
    </row>
    <row r="11" ht="60.0" customHeight="1">
      <c r="A11" s="92"/>
      <c r="B11" s="95" t="s">
        <v>364</v>
      </c>
      <c r="C11" s="96" t="s">
        <v>365</v>
      </c>
      <c r="D11" s="96" t="s">
        <v>366</v>
      </c>
    </row>
    <row r="12" ht="60.0" customHeight="1">
      <c r="A12" s="92"/>
      <c r="B12" s="97" t="s">
        <v>367</v>
      </c>
      <c r="C12" s="98" t="s">
        <v>368</v>
      </c>
      <c r="D12" s="98" t="s">
        <v>369</v>
      </c>
    </row>
    <row r="14" ht="21.75" customHeight="1">
      <c r="A14" s="92"/>
      <c r="B14" s="99" t="s">
        <v>370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B14:D14"/>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2026-04-10T16:23:40Z</dcterms:created>
  <dc:creator>openpyxl</dc:creator>
</cp:coreProperties>
</file>